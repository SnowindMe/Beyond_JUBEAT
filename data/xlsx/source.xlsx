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457\Desktop\"/>
    </mc:Choice>
  </mc:AlternateContent>
  <bookViews>
    <workbookView windowWidth="22188" windowHeight="9060" firstSheet="1" activeTab="3"/>
  </bookViews>
  <sheets>
    <sheet name="国框更新日服歌曲进度" sheetId="1" r:id="rId1"/>
    <sheet name="国框更新音乐魔方进度" sheetId="8" r:id="rId2"/>
    <sheet name="国框Jubiility理论值" sheetId="2" state="hidden" r:id="rId3"/>
    <sheet name="国框Jubiility理论值 【20261015】" sheetId="3" r:id="rId4"/>
    <sheet name="国框跑图II歌曲详情" sheetId="4" state="hidden" r:id="rId5"/>
    <sheet name="pick up（10+）" sheetId="6" r:id="rId6"/>
    <sheet name="pick up（9+）" sheetId="7" r:id="rId7"/>
  </sheets>
  <definedNames>
    <definedName name="_xlnm._FilterDatabase" localSheetId="0" hidden="1">国框更新日服歌曲进度!$A$1:$J$700</definedName>
    <definedName name="_xlnm._FilterDatabase" localSheetId="1" hidden="1">国框更新音乐魔方进度!$A$1:$J$95</definedName>
    <definedName name="_xlnm._FilterDatabase" localSheetId="2" hidden="1">国框Jubiility理论值!$A$3:$F$65</definedName>
    <definedName name="_xlnm._FilterDatabase" localSheetId="3" hidden="1">'国框Jubiility理论值 【20261015】'!$A$3:$F$65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<sst xmlns="http://schemas.openxmlformats.org/spreadsheetml/2006/main" count="4459" uniqueCount="1450">
  <si>
    <t>SongId</t>
  </si>
  <si>
    <t>Song</t>
  </si>
  <si>
    <t>Artist</t>
  </si>
  <si>
    <t>BPM</t>
  </si>
  <si>
    <t>Level</t>
  </si>
  <si>
    <t>更新情况</t>
  </si>
  <si>
    <t>音乐魔方更新时间
（公布更新情报）</t>
  </si>
  <si>
    <t>初出代</t>
  </si>
  <si>
    <t>音乐魔方更新
老歌剩余库存</t>
  </si>
  <si>
    <t>Basic</t>
  </si>
  <si>
    <t>Advanced</t>
  </si>
  <si>
    <t>Extreme</t>
  </si>
  <si>
    <t>jubeat</t>
  </si>
  <si>
    <t>bass 2 bass</t>
  </si>
  <si>
    <t>Ryu☆</t>
  </si>
  <si>
    <t>√</t>
  </si>
  <si>
    <t>解禁I - KUMQUAT</t>
  </si>
  <si>
    <t>jubeat ripples</t>
  </si>
  <si>
    <t>Chance and Dice</t>
  </si>
  <si>
    <t>日本少年</t>
  </si>
  <si>
    <t>解禁I - CHERRY</t>
  </si>
  <si>
    <t>jubeat knit</t>
  </si>
  <si>
    <t>Evans</t>
  </si>
  <si>
    <t>DJ YOSHITAKA</t>
  </si>
  <si>
    <t>——</t>
  </si>
  <si>
    <t>jubeat copious</t>
  </si>
  <si>
    <t>GIGA BREAK</t>
  </si>
  <si>
    <t>jubeat saucer</t>
  </si>
  <si>
    <t>Icicles</t>
  </si>
  <si>
    <t>Jimmy Weckl</t>
  </si>
  <si>
    <t>jubeat saucer fulfill</t>
  </si>
  <si>
    <t>Jumping Boogie</t>
  </si>
  <si>
    <t>Kozo Nakamura</t>
  </si>
  <si>
    <t>jubeat prop</t>
  </si>
  <si>
    <t>SigSig</t>
  </si>
  <si>
    <t>kors k</t>
  </si>
  <si>
    <t>解禁I - LIME</t>
  </si>
  <si>
    <t>jubeat Qubell</t>
  </si>
  <si>
    <t>Slang</t>
  </si>
  <si>
    <r>
      <rPr>
        <i/>
        <sz val="11"/>
        <color rgb="FF000000"/>
        <rFont val="Times New Roman"/>
        <charset val="134"/>
      </rPr>
      <t xml:space="preserve">jubeat </t>
    </r>
    <r>
      <rPr>
        <i/>
        <sz val="11"/>
        <color rgb="FFFF0000"/>
        <rFont val="Times New Roman"/>
        <charset val="134"/>
      </rPr>
      <t>c</t>
    </r>
    <r>
      <rPr>
        <i/>
        <sz val="11"/>
        <color rgb="FF00B0F0"/>
        <rFont val="Times New Roman"/>
        <charset val="134"/>
      </rPr>
      <t>l</t>
    </r>
    <r>
      <rPr>
        <i/>
        <sz val="11"/>
        <color rgb="FFADD88D"/>
        <rFont val="Times New Roman"/>
        <charset val="134"/>
      </rPr>
      <t>a</t>
    </r>
    <r>
      <rPr>
        <i/>
        <sz val="11"/>
        <color rgb="FF7030A0"/>
        <rFont val="Times New Roman"/>
        <charset val="134"/>
      </rPr>
      <t>n</t>
    </r>
  </si>
  <si>
    <t>TRUE♥LOVE</t>
  </si>
  <si>
    <t>jun feat. Schanita</t>
  </si>
  <si>
    <t>jubeat festo</t>
  </si>
  <si>
    <t>あいのうた</t>
  </si>
  <si>
    <t>肥塚良彦</t>
  </si>
  <si>
    <t>2026.02.10</t>
  </si>
  <si>
    <t>jubeat Ave.</t>
  </si>
  <si>
    <t>凛として咲く花の如く</t>
  </si>
  <si>
    <t>紅色リトマス</t>
  </si>
  <si>
    <t>解禁I - RAINBOW</t>
  </si>
  <si>
    <t>jubeat beyond the Ave.</t>
  </si>
  <si>
    <r>
      <rPr>
        <sz val="11"/>
        <color rgb="FF000000"/>
        <rFont val="Times New Roman"/>
        <charset val="134"/>
      </rPr>
      <t>jubeat</t>
    </r>
    <r>
      <rPr>
        <sz val="11"/>
        <color rgb="FF000000"/>
        <rFont val="宋体"/>
        <charset val="134"/>
      </rPr>
      <t>音乐魔方</t>
    </r>
  </si>
  <si>
    <t>AIR RAID FROM THA UNDAGROUND</t>
  </si>
  <si>
    <t>GUHROOVY</t>
  </si>
  <si>
    <t>Ave.之前总和（曲库）</t>
  </si>
  <si>
    <t>ALBIDA</t>
  </si>
  <si>
    <t>AREA 51</t>
  </si>
  <si>
    <t>解禁I - BLUEBERRY</t>
  </si>
  <si>
    <t>可更新月数</t>
  </si>
  <si>
    <t>coming true</t>
  </si>
  <si>
    <t>GUHROOVY Vs. L.E.D.</t>
  </si>
  <si>
    <t>pick up歌曲</t>
  </si>
  <si>
    <t>eyes</t>
  </si>
  <si>
    <t>小野秀幸</t>
  </si>
  <si>
    <t>Good-bye Chalon</t>
  </si>
  <si>
    <t>猫叉Master+</t>
  </si>
  <si>
    <t>2026.04.16</t>
  </si>
  <si>
    <t>Lead Me</t>
  </si>
  <si>
    <t>SHOGO</t>
  </si>
  <si>
    <t>Macuilxochitl</t>
  </si>
  <si>
    <t>TOMOSUKE</t>
  </si>
  <si>
    <t>Queen's Paradise</t>
  </si>
  <si>
    <t>Nanako</t>
  </si>
  <si>
    <t>Shining Star</t>
  </si>
  <si>
    <t>Sota Fujimori feat.Nagisa</t>
  </si>
  <si>
    <t>STARLIT DUST/スティルに捧ぐ</t>
  </si>
  <si>
    <t>Des-ROW + ANT</t>
  </si>
  <si>
    <t>SWEET ANGEL</t>
  </si>
  <si>
    <t>古川もとあき</t>
  </si>
  <si>
    <t>コイノチカラ</t>
  </si>
  <si>
    <t>石阪久美子</t>
  </si>
  <si>
    <t>少年リップルズ</t>
  </si>
  <si>
    <t>常盤ゆう</t>
  </si>
  <si>
    <t>隅田川夏恋歌</t>
  </si>
  <si>
    <t>seiya-murai feat.ALT</t>
  </si>
  <si>
    <t>ALL MY HEART -この恋に、わたしの全てを賭げる-</t>
  </si>
  <si>
    <t>SUPER HEROINE 彩香 -AYAKA-</t>
  </si>
  <si>
    <t>concon</t>
  </si>
  <si>
    <t>S-C-U</t>
  </si>
  <si>
    <t>Far east nightbird</t>
  </si>
  <si>
    <t>猫叉Master</t>
  </si>
  <si>
    <t>FLOWER</t>
  </si>
  <si>
    <t>I'm so Happy</t>
  </si>
  <si>
    <t>Jailbreak</t>
  </si>
  <si>
    <t>KUNG-FU MAMA</t>
  </si>
  <si>
    <t>2026.03.10</t>
  </si>
  <si>
    <t>Love ♡ km</t>
  </si>
  <si>
    <t>dj TAKA feat. REN</t>
  </si>
  <si>
    <t>Prophet Vibe</t>
  </si>
  <si>
    <t>Sota Fujimori feat. Calin</t>
  </si>
  <si>
    <t>Shine On Me</t>
  </si>
  <si>
    <t>Shining Wizard</t>
  </si>
  <si>
    <t>STELLAR WIND</t>
  </si>
  <si>
    <t>L.E.D.</t>
  </si>
  <si>
    <t>Theory of Eternity</t>
  </si>
  <si>
    <t>TAG</t>
  </si>
  <si>
    <t>うらもからだも落花微塵</t>
  </si>
  <si>
    <t>キルト</t>
  </si>
  <si>
    <t>Des-Sana＋wpt9</t>
  </si>
  <si>
    <t>さよならトリップ</t>
  </si>
  <si>
    <t>Dormir</t>
  </si>
  <si>
    <t>[E]</t>
  </si>
  <si>
    <t>dj MAX STEROID</t>
  </si>
  <si>
    <t>532nm</t>
  </si>
  <si>
    <t>800nm</t>
  </si>
  <si>
    <t>Another Infinity (Ryu☆×Starving Trancer)</t>
  </si>
  <si>
    <t>cloche</t>
  </si>
  <si>
    <t>Qrispy Joybox</t>
  </si>
  <si>
    <t>Devil Fish Dumpling</t>
  </si>
  <si>
    <t>DOUBLE IMPACT</t>
  </si>
  <si>
    <t>FRIENDSHIP</t>
  </si>
  <si>
    <t>PON</t>
  </si>
  <si>
    <t>HEAT-BIT-HIT-BEAT</t>
  </si>
  <si>
    <t>V.C.O.</t>
  </si>
  <si>
    <t>2026.09.15</t>
  </si>
  <si>
    <t>HEAVENLY MOON</t>
  </si>
  <si>
    <t>Tatsh</t>
  </si>
  <si>
    <t>JOMANDA</t>
  </si>
  <si>
    <t>90-195</t>
  </si>
  <si>
    <t>Plum</t>
  </si>
  <si>
    <t>polygon</t>
  </si>
  <si>
    <t>Sota Fujimori</t>
  </si>
  <si>
    <t>RePrise</t>
  </si>
  <si>
    <t>Riot of Color</t>
  </si>
  <si>
    <t>Rush!!</t>
  </si>
  <si>
    <t>kors k feat.吉河順央</t>
  </si>
  <si>
    <t>Starlight Parade</t>
  </si>
  <si>
    <t>The Wind of Gold</t>
  </si>
  <si>
    <t>THIS NIGHT (jubeat EDITION)</t>
  </si>
  <si>
    <t>TЁЯRA</t>
  </si>
  <si>
    <t>TWINKLE♡HEART</t>
  </si>
  <si>
    <t>jun</t>
  </si>
  <si>
    <t>WONDER WALKER</t>
  </si>
  <si>
    <t>yellow head joe</t>
  </si>
  <si>
    <t>アルストロメリア</t>
  </si>
  <si>
    <r>
      <rPr>
        <sz val="11"/>
        <rFont val="宋体"/>
        <charset val="134"/>
      </rPr>
      <t>ギタ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ドラ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jubeat大夏祭りのテーマ</t>
    </r>
  </si>
  <si>
    <t>DNM盛り上げ隊</t>
  </si>
  <si>
    <t>ナナホシ</t>
  </si>
  <si>
    <t>2026.03.31</t>
  </si>
  <si>
    <t>量子の海のリントヴルム</t>
  </si>
  <si>
    <t>黒猫ダンジョン</t>
  </si>
  <si>
    <t>流砂の嵐</t>
  </si>
  <si>
    <t>劇団レコード</t>
  </si>
  <si>
    <t>140-146</t>
  </si>
  <si>
    <t>瞬</t>
  </si>
  <si>
    <t>幸せのかたち</t>
  </si>
  <si>
    <t>あさき</t>
  </si>
  <si>
    <t>陽炎</t>
  </si>
  <si>
    <t>星野奏子</t>
  </si>
  <si>
    <t>†渚の小悪魔ラヴリィ～レイディオ†</t>
  </si>
  <si>
    <t>夏色ビキニのPrim</t>
  </si>
  <si>
    <t>405nm (Ryu☆mix)</t>
  </si>
  <si>
    <t>Another Infinity</t>
  </si>
  <si>
    <t>Across the nightmare</t>
  </si>
  <si>
    <t>Amalgamation</t>
  </si>
  <si>
    <t>Mystic Moon</t>
  </si>
  <si>
    <t>anemone</t>
  </si>
  <si>
    <t>S-C-U feat.Qrispy Joybox</t>
  </si>
  <si>
    <t>Arousing</t>
  </si>
  <si>
    <t>DJ TOTTO feat.吉河順央</t>
  </si>
  <si>
    <t>Asterism</t>
  </si>
  <si>
    <t>ZUKI</t>
  </si>
  <si>
    <t>Baby Bleep March</t>
  </si>
  <si>
    <t>seiya-murai</t>
  </si>
  <si>
    <t>Beastie Starter</t>
  </si>
  <si>
    <t>BLUE STRAGGLER</t>
  </si>
  <si>
    <t>Brand New World</t>
  </si>
  <si>
    <t>VENUS</t>
  </si>
  <si>
    <t>Broken</t>
  </si>
  <si>
    <t>dj TAKA feat.AiMEE</t>
  </si>
  <si>
    <t>2026.08.31</t>
  </si>
  <si>
    <t>Cassis</t>
  </si>
  <si>
    <t>chaplet</t>
  </si>
  <si>
    <t>DJ TOTTO</t>
  </si>
  <si>
    <t>Chronos</t>
  </si>
  <si>
    <t>Clumsy thoughts</t>
  </si>
  <si>
    <t>猫叉Master feat.*spiLa*</t>
  </si>
  <si>
    <t>Concertino in Blue</t>
  </si>
  <si>
    <t>佐々木博史</t>
  </si>
  <si>
    <t>130-155</t>
  </si>
  <si>
    <t>Confiserie</t>
  </si>
  <si>
    <t>L.E.D. vs S-C-U</t>
  </si>
  <si>
    <t>Cosmic Hurricane</t>
  </si>
  <si>
    <t>Daily Lunch Special</t>
  </si>
  <si>
    <t>Lucky Vacuum</t>
  </si>
  <si>
    <t>December Breeze</t>
  </si>
  <si>
    <t>dj silverberg</t>
  </si>
  <si>
    <t>Dragon Blade</t>
  </si>
  <si>
    <t>DRAGON KILLER</t>
  </si>
  <si>
    <t>96 vs. Mutsuhiko Izumi</t>
  </si>
  <si>
    <t>Elemental Creation</t>
  </si>
  <si>
    <t>dj TAKA meets DJ YOSHITAKA</t>
  </si>
  <si>
    <t>Empathetic</t>
  </si>
  <si>
    <t>Sota÷Des</t>
  </si>
  <si>
    <t>Endless Chain ～2人でトリガーをひこう～</t>
  </si>
  <si>
    <t>私立BEMANI学園軽音楽部</t>
  </si>
  <si>
    <t>Engraved Mark</t>
  </si>
  <si>
    <t>Ryu☆ ∞ Des-ROW</t>
  </si>
  <si>
    <t>Fantasia</t>
  </si>
  <si>
    <t>Flip Flap</t>
  </si>
  <si>
    <t>Fly with me</t>
  </si>
  <si>
    <t>GAIA</t>
  </si>
  <si>
    <t>猫叉L.E.D.Master+</t>
  </si>
  <si>
    <t>Gimme a Big Beat</t>
  </si>
  <si>
    <t>Go For The Top</t>
  </si>
  <si>
    <t>U1 overground</t>
  </si>
  <si>
    <t>Happy</t>
  </si>
  <si>
    <t>HEART BEAT FORMULA</t>
  </si>
  <si>
    <t>heron</t>
  </si>
  <si>
    <t>HYDRA</t>
  </si>
  <si>
    <t>I/O</t>
  </si>
  <si>
    <t>IX</t>
  </si>
  <si>
    <t>dj TAKA VS DJ TOTTO feat.藍</t>
  </si>
  <si>
    <t>Life Connection</t>
  </si>
  <si>
    <t>world sequence</t>
  </si>
  <si>
    <t>Lisa-RICCIA</t>
  </si>
  <si>
    <t>Little Flipper</t>
  </si>
  <si>
    <t>Little Star</t>
  </si>
  <si>
    <t>REDALiCE feat. Ayumi Nomiya</t>
  </si>
  <si>
    <t>LUV CAN SAVE U</t>
  </si>
  <si>
    <t>HIDEKI NAGANUMA</t>
  </si>
  <si>
    <t>Magnetic</t>
  </si>
  <si>
    <t>milky ice bear</t>
  </si>
  <si>
    <t>Mother Ship</t>
  </si>
  <si>
    <t>Move That Body</t>
  </si>
  <si>
    <t>Expander</t>
  </si>
  <si>
    <t>Mynarco</t>
  </si>
  <si>
    <t>positive MAD-crew</t>
  </si>
  <si>
    <t>neu</t>
  </si>
  <si>
    <t>少年ラジオ</t>
  </si>
  <si>
    <t>Never Look Back in Sorrow</t>
  </si>
  <si>
    <t>AIKO OI</t>
  </si>
  <si>
    <t>New Decade</t>
  </si>
  <si>
    <t>Sota F.</t>
  </si>
  <si>
    <t>New Gravity</t>
  </si>
  <si>
    <t>Starving Trancer</t>
  </si>
  <si>
    <t>O JIYA</t>
  </si>
  <si>
    <t>ASMAT &amp; emi</t>
  </si>
  <si>
    <t>Our Faith</t>
  </si>
  <si>
    <t>OVERHEAT -Type J-</t>
  </si>
  <si>
    <t>DOUBLE IMPACT</t>
  </si>
  <si>
    <t>Plan 8</t>
  </si>
  <si>
    <t>POINT ZERO</t>
  </si>
  <si>
    <t>PRANA</t>
  </si>
  <si>
    <t>Proof of the existence</t>
  </si>
  <si>
    <t>PUNISHER</t>
  </si>
  <si>
    <t>TAG×PON</t>
  </si>
  <si>
    <t>解禁II - BLUEBERRY</t>
  </si>
  <si>
    <t>quaver♪</t>
  </si>
  <si>
    <t>Risk Junk</t>
  </si>
  <si>
    <t>182-186</t>
  </si>
  <si>
    <t>Rainbow after snow</t>
  </si>
  <si>
    <t>猫叉Master feat.林ももこ</t>
  </si>
  <si>
    <t>RED ZONE</t>
  </si>
  <si>
    <t>Tatsh&amp;NAOKI</t>
  </si>
  <si>
    <t>Right on time (Ryu☆ Remix)</t>
  </si>
  <si>
    <t>robin</t>
  </si>
  <si>
    <t>Romancing Layer</t>
  </si>
  <si>
    <t>Sakura Sunrise</t>
  </si>
  <si>
    <t>Second Heaven</t>
  </si>
  <si>
    <t>SEED</t>
  </si>
  <si>
    <t>Sky Is The Limit</t>
  </si>
  <si>
    <t>Sota F. feat.Anna</t>
  </si>
  <si>
    <r>
      <rPr>
        <sz val="11"/>
        <rFont val="宋体"/>
        <charset val="134"/>
      </rPr>
      <t>smooooch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∀</t>
    </r>
    <r>
      <rPr>
        <sz val="11"/>
        <rFont val="MS Gothic"/>
        <charset val="134"/>
      </rPr>
      <t>・</t>
    </r>
  </si>
  <si>
    <t>snow prism</t>
  </si>
  <si>
    <t>Snowfield Express</t>
  </si>
  <si>
    <t>TIME CAPSULE Lab.</t>
  </si>
  <si>
    <t>Sol Cosine Job 2</t>
  </si>
  <si>
    <t>DJ TECHNORCH</t>
  </si>
  <si>
    <t>190-200</t>
  </si>
  <si>
    <t>sola</t>
  </si>
  <si>
    <t>spring pony</t>
  </si>
  <si>
    <t>squall</t>
  </si>
  <si>
    <t>Squeeze</t>
  </si>
  <si>
    <t>VENUS feat. Mutsuhiko Izumi</t>
  </si>
  <si>
    <t>Stand Alone Beat Masta</t>
  </si>
  <si>
    <t>Stella Sinistra</t>
  </si>
  <si>
    <t>Akhuta Philharmonic Orchestra</t>
  </si>
  <si>
    <t>120-180</t>
  </si>
  <si>
    <t>2026.04.30</t>
  </si>
  <si>
    <t>Straight Oath</t>
  </si>
  <si>
    <t>矢鴇つかさ feat. 三澤秋</t>
  </si>
  <si>
    <t>STULTI</t>
  </si>
  <si>
    <t>MAX MAXIMIZER VS DJ TOTTO</t>
  </si>
  <si>
    <t>90-182</t>
  </si>
  <si>
    <t>Synergy For Angels</t>
  </si>
  <si>
    <t>TAG×U1-ASAMi</t>
  </si>
  <si>
    <t>Triple Journey -S-C-U EDITION-</t>
  </si>
  <si>
    <t>Triumvirate</t>
  </si>
  <si>
    <t>True Blue</t>
  </si>
  <si>
    <t>TSAR BOMBA</t>
  </si>
  <si>
    <t>Twinkle Wonderland</t>
  </si>
  <si>
    <t>Qrispy Joybox feat.Sana</t>
  </si>
  <si>
    <t>VALLIS-NERIA</t>
  </si>
  <si>
    <t>Vanity</t>
  </si>
  <si>
    <t>Vivian</t>
  </si>
  <si>
    <t>125-150</t>
  </si>
  <si>
    <t>We're so Happy</t>
  </si>
  <si>
    <t>Windy Fairy</t>
  </si>
  <si>
    <t>Wow Wow VENUS</t>
  </si>
  <si>
    <t>ZED</t>
  </si>
  <si>
    <t>USAO</t>
  </si>
  <si>
    <t>ZZ</t>
  </si>
  <si>
    <t>D.J.Amuro</t>
  </si>
  <si>
    <t>アストライアの双皿</t>
  </si>
  <si>
    <t>ZODIACSYNDICATE</t>
  </si>
  <si>
    <t>イ号零型</t>
  </si>
  <si>
    <t>お米の美味しい炊き方、そしてお米を食べることによるその効果。</t>
  </si>
  <si>
    <t>大日本鉄倶楽部 【あさき&amp;96】</t>
  </si>
  <si>
    <t>カラフルミニッツ</t>
  </si>
  <si>
    <t>Qrispy Joybox feat.mao</t>
  </si>
  <si>
    <t>カラルの月</t>
  </si>
  <si>
    <t>猫叉劇団</t>
  </si>
  <si>
    <t>キラキラ☆ステーション</t>
  </si>
  <si>
    <t>Tatsh feat. Prico</t>
  </si>
  <si>
    <t>この青空の下で</t>
  </si>
  <si>
    <t>TAG meets “eimy”</t>
  </si>
  <si>
    <r>
      <rPr>
        <sz val="11"/>
        <rFont val="宋体"/>
        <charset val="134"/>
      </rPr>
      <t>サヨナラ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ヘヴン</t>
    </r>
  </si>
  <si>
    <r>
      <rPr>
        <sz val="11"/>
        <rFont val="宋体"/>
        <charset val="134"/>
      </rPr>
      <t>ストレイ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マーチ</t>
    </r>
  </si>
  <si>
    <t>少年ゾディアック</t>
  </si>
  <si>
    <t>ツキミチヌ</t>
  </si>
  <si>
    <t>CULTVOICE by S.S.D. PRODUCTS</t>
  </si>
  <si>
    <t>デッドボヲルdeホームラン</t>
  </si>
  <si>
    <t>猫叉Masterβ2</t>
  </si>
  <si>
    <t>トリカゴノ鳳凰</t>
  </si>
  <si>
    <t>L.E.D. Vs. 幽閉サテライト</t>
  </si>
  <si>
    <t>ヒーロー</t>
  </si>
  <si>
    <t>鈴木友里絵</t>
  </si>
  <si>
    <r>
      <rPr>
        <sz val="11"/>
        <rFont val="宋体"/>
        <charset val="134"/>
      </rPr>
      <t>フー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フローツ</t>
    </r>
  </si>
  <si>
    <t>ほしふり</t>
  </si>
  <si>
    <t>Sana</t>
  </si>
  <si>
    <t>ポップミュージック論</t>
  </si>
  <si>
    <t>ギラギラメガネ団</t>
  </si>
  <si>
    <r>
      <rPr>
        <sz val="11"/>
        <rFont val="宋体"/>
        <charset val="134"/>
      </rPr>
      <t>マインド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ゲーム</t>
    </r>
  </si>
  <si>
    <t>96 with メカショッチョー</t>
  </si>
  <si>
    <t>リメンバーリメンバー</t>
  </si>
  <si>
    <t>rino &amp; m@sumi from plastic penguin</t>
  </si>
  <si>
    <t>愛は不死鳥の様に</t>
  </si>
  <si>
    <t>真紅の薔薇の騎士Prim</t>
  </si>
  <si>
    <t>2026.06.30</t>
  </si>
  <si>
    <t>蒼天</t>
  </si>
  <si>
    <t>創世ノート</t>
  </si>
  <si>
    <t>PON+wac</t>
  </si>
  <si>
    <t>此岸の戯事</t>
  </si>
  <si>
    <t>Akhuta</t>
  </si>
  <si>
    <t>黒髪乱れし修羅となりて</t>
  </si>
  <si>
    <t>村正クオリア</t>
  </si>
  <si>
    <t>轟け！恋のビーンボール！！</t>
  </si>
  <si>
    <t>ダイナミック野球兄弟 v.s. クロスファイヤーPrim</t>
  </si>
  <si>
    <t>解禁II - CHERRY</t>
  </si>
  <si>
    <t>虹色の花</t>
  </si>
  <si>
    <t>Akhuta y OJ</t>
  </si>
  <si>
    <t>紅蓮の焔</t>
  </si>
  <si>
    <t>劇団レコードfeat.浅葉リオ</t>
  </si>
  <si>
    <t>紅焔</t>
  </si>
  <si>
    <t>君の元へ</t>
  </si>
  <si>
    <t>久保田祥平</t>
  </si>
  <si>
    <t>恋する☆宇宙戦争っ!!</t>
  </si>
  <si>
    <t>Prim</t>
  </si>
  <si>
    <t>恋はどう？モロ◎波動OK☆方程式！！</t>
  </si>
  <si>
    <t>あべにゅうぷろじぇくと feat.佐倉沙織 produced by ave;new</t>
  </si>
  <si>
    <t>恋愛観測</t>
  </si>
  <si>
    <t>NU-KO</t>
  </si>
  <si>
    <t>恋閃繚乱</t>
  </si>
  <si>
    <t>2B-Waves</t>
  </si>
  <si>
    <t>朧</t>
  </si>
  <si>
    <t>HHH×MM×ST</t>
  </si>
  <si>
    <t>梅雪夜</t>
  </si>
  <si>
    <t>晴天Bon Voyage</t>
  </si>
  <si>
    <t>TOMOSUKE × seiya-murai feat. ALT</t>
  </si>
  <si>
    <t>少年は空を辿る</t>
  </si>
  <si>
    <t>Power Of Nature</t>
  </si>
  <si>
    <t>亡国のヒストリア</t>
  </si>
  <si>
    <t>我が麗しのバレンシア</t>
  </si>
  <si>
    <t>劇団レコード feat. Mille Face</t>
  </si>
  <si>
    <t>130-150</t>
  </si>
  <si>
    <r>
      <rPr>
        <sz val="11"/>
        <rFont val="宋体"/>
        <charset val="134"/>
      </rPr>
      <t>夏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KOI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ムッシュ!!</t>
    </r>
  </si>
  <si>
    <t>ビーチサンダルズ</t>
  </si>
  <si>
    <t>野球の遊び方　そしてその歴史　～決定版～</t>
  </si>
  <si>
    <t>あさき大監督</t>
  </si>
  <si>
    <t>影縫い胤撒き</t>
  </si>
  <si>
    <t>優勢オーバードーズ</t>
  </si>
  <si>
    <t>終末を追う者</t>
  </si>
  <si>
    <t>S-C-U×PON</t>
  </si>
  <si>
    <t>2026.09.29</t>
  </si>
  <si>
    <t>TAG feat. 96</t>
  </si>
  <si>
    <t>7 Colors</t>
  </si>
  <si>
    <t>aura</t>
  </si>
  <si>
    <t>Cleopatrysm</t>
  </si>
  <si>
    <t>ピラミッ℃</t>
  </si>
  <si>
    <t>2026.08.14</t>
  </si>
  <si>
    <t>DANCE ALL NIGHT</t>
  </si>
  <si>
    <t>encounter</t>
  </si>
  <si>
    <t>Energy</t>
  </si>
  <si>
    <t>SAYA</t>
  </si>
  <si>
    <t>EXORCISM</t>
  </si>
  <si>
    <t>SOUND HOLIC feat. Nana Takahashi</t>
  </si>
  <si>
    <t>Follow Tomorrow</t>
  </si>
  <si>
    <t>FUNKY SUMMER BEACH</t>
  </si>
  <si>
    <t>P*Light</t>
  </si>
  <si>
    <t>2026.07.16</t>
  </si>
  <si>
    <t>High School Love</t>
  </si>
  <si>
    <t>DJ YOSHITAKA feat.DWP</t>
  </si>
  <si>
    <t>HYENA</t>
  </si>
  <si>
    <t>Hommarju</t>
  </si>
  <si>
    <t>KHAMEN BREAK</t>
  </si>
  <si>
    <t>くふおー</t>
  </si>
  <si>
    <t>Metric</t>
  </si>
  <si>
    <t>Mono Logic</t>
  </si>
  <si>
    <t>DJ NAGAI feat. Ayumi Nomiya</t>
  </si>
  <si>
    <t>passionate fate</t>
  </si>
  <si>
    <t>planarian</t>
  </si>
  <si>
    <t>Resurrection</t>
  </si>
  <si>
    <t>Scars of FAUNA</t>
  </si>
  <si>
    <t>SHION</t>
  </si>
  <si>
    <t>STERLING SILVER</t>
  </si>
  <si>
    <t>Thank You Merry Christmas</t>
  </si>
  <si>
    <t>Timberwolves</t>
  </si>
  <si>
    <t>time granular</t>
  </si>
  <si>
    <t>解禁II - LIME</t>
  </si>
  <si>
    <t>ドーパミン</t>
  </si>
  <si>
    <t>フレッフレー♪熱血チアガール</t>
  </si>
  <si>
    <t>裏マドンナだ！Primちゃん</t>
  </si>
  <si>
    <t>2026.05.14</t>
  </si>
  <si>
    <t>ポチコの幸せな日常</t>
  </si>
  <si>
    <t>まるでマトリョーシカ</t>
  </si>
  <si>
    <t>seiya-murai feat. ALT</t>
  </si>
  <si>
    <t>猫侍の逆襲</t>
  </si>
  <si>
    <t>御千手メディテーション</t>
  </si>
  <si>
    <t>昇天家族</t>
  </si>
  <si>
    <t>150-190</t>
  </si>
  <si>
    <t>枝に結ぶ願い</t>
  </si>
  <si>
    <t>朱と碧のランページ</t>
  </si>
  <si>
    <t>†渚の小悪魔ラヴリィ～レイディオ†[2]</t>
  </si>
  <si>
    <t>Braid &amp; Blade</t>
  </si>
  <si>
    <t>SHAMDEL</t>
  </si>
  <si>
    <t>EBONY &amp; IVORY</t>
  </si>
  <si>
    <t>OSTER project</t>
  </si>
  <si>
    <t>FLOWER[2]</t>
  </si>
  <si>
    <t>glacia</t>
  </si>
  <si>
    <t>glacia[2]</t>
  </si>
  <si>
    <t>In The Breeze</t>
  </si>
  <si>
    <t>96 &amp; Sota ft. Mayumi Morinaga</t>
  </si>
  <si>
    <t>123-142</t>
  </si>
  <si>
    <t>Just Believe</t>
  </si>
  <si>
    <t>小寺可南子</t>
  </si>
  <si>
    <t xml:space="preserve">Love♥km[2] </t>
  </si>
  <si>
    <t>MAGICAL SUMMER SMILE</t>
  </si>
  <si>
    <t>wac feat. VENUS</t>
  </si>
  <si>
    <t>Niflheimr</t>
  </si>
  <si>
    <t>overcomplexification</t>
  </si>
  <si>
    <t>prop the world</t>
  </si>
  <si>
    <t>robin[2]</t>
  </si>
  <si>
    <t>Rock The Club</t>
  </si>
  <si>
    <t>Sacrifice for Justice</t>
  </si>
  <si>
    <t>RoughSketch</t>
  </si>
  <si>
    <t>Slluuddggee</t>
  </si>
  <si>
    <t>83-174</t>
  </si>
  <si>
    <t>SWEET HOME PARTY</t>
  </si>
  <si>
    <t>134-180</t>
  </si>
  <si>
    <t>Too Late Snow</t>
  </si>
  <si>
    <t>movies (moimoi×Xceon×Dai.)</t>
  </si>
  <si>
    <t>Too Late Snow[2]</t>
  </si>
  <si>
    <t>Towards the TOWER</t>
  </si>
  <si>
    <t>twinkle noise</t>
  </si>
  <si>
    <t>TWINKLING</t>
  </si>
  <si>
    <t>猫叉Master feat.ミミニャミ</t>
  </si>
  <si>
    <t>Two Pianists</t>
  </si>
  <si>
    <t>We're so Happy[2]</t>
  </si>
  <si>
    <t>アガット</t>
  </si>
  <si>
    <t>Bazole</t>
  </si>
  <si>
    <t>アレスの楯</t>
  </si>
  <si>
    <t>ススススペースハリネズミ</t>
  </si>
  <si>
    <t>トリカゴノ鳳凰[2]</t>
  </si>
  <si>
    <t>パ→ピ→プ→Yeah!</t>
  </si>
  <si>
    <t>ヒゲドライバー join. shully &amp; Nimo</t>
  </si>
  <si>
    <t>ビビットストリーム</t>
  </si>
  <si>
    <t>惑星☆ロリポップ</t>
  </si>
  <si>
    <t>霖が哭く</t>
  </si>
  <si>
    <t>龍と少女とデコヒーレンス</t>
  </si>
  <si>
    <t>2026.05.28</t>
  </si>
  <si>
    <t>日天悦扇紊舞</t>
  </si>
  <si>
    <t>天空の華</t>
  </si>
  <si>
    <t>S-C-U × U1 overground</t>
  </si>
  <si>
    <t>2026.07.30</t>
  </si>
  <si>
    <t>夏色DIARY 俺のjubeat編</t>
  </si>
  <si>
    <t>猫叉王子 feat.時を駆けるショッチョー</t>
  </si>
  <si>
    <t>Against the vulgar aggressor</t>
  </si>
  <si>
    <t>aleatrik</t>
  </si>
  <si>
    <t>nc ft. NRGFactory</t>
  </si>
  <si>
    <t>Angelic Jelly</t>
  </si>
  <si>
    <t>t+pazolite</t>
  </si>
  <si>
    <t>Ark</t>
  </si>
  <si>
    <t>Bleep Beep Bop</t>
  </si>
  <si>
    <t>Bonjour, The World!!</t>
  </si>
  <si>
    <t>中島由貴 feat. dj TAKA with S-C-U meets Akhuta</t>
  </si>
  <si>
    <t>Boss Rush</t>
  </si>
  <si>
    <t>CARNIVOROUS</t>
  </si>
  <si>
    <t>CHERNOBOG</t>
  </si>
  <si>
    <t>漆黒のEBONY</t>
  </si>
  <si>
    <t>解禁II - RAINBOW</t>
  </si>
  <si>
    <t>CIRCUS U CRIC</t>
  </si>
  <si>
    <t>Cosminflation</t>
  </si>
  <si>
    <t>山本真央樹</t>
  </si>
  <si>
    <t>Destiny lovers</t>
  </si>
  <si>
    <t>くにたけ みゆき</t>
  </si>
  <si>
    <t>Entrapment</t>
  </si>
  <si>
    <t>FUJIMORI -祭- FESTIVAL</t>
  </si>
  <si>
    <t>Giant Otter Family</t>
  </si>
  <si>
    <t>Glitter Flatter Scatter</t>
  </si>
  <si>
    <t>Project B-</t>
  </si>
  <si>
    <t>Good bye, Summer～さよならは言わない～</t>
  </si>
  <si>
    <t>私立BEMANI学園軽音部 OB</t>
  </si>
  <si>
    <t>Grand Chariot</t>
  </si>
  <si>
    <t>xi</t>
  </si>
  <si>
    <t>Hollywood Galaxy</t>
  </si>
  <si>
    <t>dj TAKA</t>
  </si>
  <si>
    <t>Hunny Bunny</t>
  </si>
  <si>
    <t>Invisible Border</t>
  </si>
  <si>
    <t>KAMAITACHI</t>
  </si>
  <si>
    <t>DJ TECHNORCH fw.GUHROOVY</t>
  </si>
  <si>
    <t>Knell</t>
  </si>
  <si>
    <t>Lost wing at.0</t>
  </si>
  <si>
    <t>Megalara Garuda</t>
  </si>
  <si>
    <t>SYUNN</t>
  </si>
  <si>
    <t>Mirage of the Mirror</t>
  </si>
  <si>
    <t>122-163</t>
  </si>
  <si>
    <t>New York EVOLVED</t>
  </si>
  <si>
    <t>NC underground</t>
  </si>
  <si>
    <t>NISHIMURA -祭- CARNIVAL</t>
  </si>
  <si>
    <t>S-C-U x U1 feat. VENUS</t>
  </si>
  <si>
    <t>nostos</t>
  </si>
  <si>
    <t>Setaria Virtuoso</t>
  </si>
  <si>
    <t>86-144</t>
  </si>
  <si>
    <t>Phlox</t>
  </si>
  <si>
    <t>Sota Fujimori 2nd Season</t>
  </si>
  <si>
    <t>Qubellic Prism</t>
  </si>
  <si>
    <t>Nazzo-Non-Heat</t>
  </si>
  <si>
    <t>RHYZING BEAT</t>
  </si>
  <si>
    <t>PHQUASE</t>
  </si>
  <si>
    <t>Sephirot</t>
  </si>
  <si>
    <t>SHIKI</t>
  </si>
  <si>
    <t>Sky High</t>
  </si>
  <si>
    <t>Cuvelia</t>
  </si>
  <si>
    <t>SPACE VILLAGE</t>
  </si>
  <si>
    <t>サイバー劇レコ</t>
  </si>
  <si>
    <t>StrayedCatz</t>
  </si>
  <si>
    <t>削除</t>
  </si>
  <si>
    <t>The Omen</t>
  </si>
  <si>
    <t>Triple Counter</t>
  </si>
  <si>
    <t>DJ YOSHITAKA meets dj TAKA</t>
  </si>
  <si>
    <t>ULTRA HAPPY MEGAMIX</t>
  </si>
  <si>
    <t>DJ Genki</t>
  </si>
  <si>
    <t>UROBOROS OVERDIVE</t>
  </si>
  <si>
    <t>L.E.D. feat. YURiCa/花たん</t>
  </si>
  <si>
    <t>Valanga</t>
  </si>
  <si>
    <t>Vampire Killer</t>
  </si>
  <si>
    <t>浅田 靖</t>
  </si>
  <si>
    <t>Windy Fairy[2]</t>
  </si>
  <si>
    <t>ZEPHYRANTHES</t>
  </si>
  <si>
    <t>アキネイション</t>
  </si>
  <si>
    <t>ビートまりお（COOL&amp;CREATE）</t>
  </si>
  <si>
    <t>キミとワタシのオンガク</t>
  </si>
  <si>
    <t>ケンぱ！ケンぱ！拳拳ぱん打！</t>
  </si>
  <si>
    <t>ぱんぱんぱん打</t>
  </si>
  <si>
    <t>スカイダイバー</t>
  </si>
  <si>
    <t>ヒゲドライバー feat.ヒゲドライVAN</t>
  </si>
  <si>
    <t>2026.10.15</t>
  </si>
  <si>
    <t>それは花火のような恋</t>
  </si>
  <si>
    <t>夏色バーニングラブ☆Prim</t>
  </si>
  <si>
    <t>トキメキストリーム</t>
  </si>
  <si>
    <t>にゃんのパレードマーチ♪</t>
  </si>
  <si>
    <t>DJ TOTTO feat.にゃん</t>
  </si>
  <si>
    <t>バビロニア</t>
  </si>
  <si>
    <t>解禁II - KUMQUAT</t>
  </si>
  <si>
    <t>バビロニアの旅人たち</t>
  </si>
  <si>
    <t>Babylonian Vates</t>
  </si>
  <si>
    <t>ぱんだしんけん１、２、３ ～ちえ！おっしょさんにはかなわないや！～</t>
  </si>
  <si>
    <t>おひさまくらぶ</t>
  </si>
  <si>
    <t>ロプノールの商隊</t>
  </si>
  <si>
    <t>爆なな☆てすとロイヤー</t>
  </si>
  <si>
    <t>ARM feat.ななひら</t>
  </si>
  <si>
    <t>不可説不可説転</t>
  </si>
  <si>
    <t>蟲の棲む処</t>
  </si>
  <si>
    <t>かめりあ feat. Nana Takahashi</t>
  </si>
  <si>
    <t>分けるな危険！モモモモモモーイズム</t>
  </si>
  <si>
    <t>ARM×狐夢想 feat. 桃井はるこ</t>
  </si>
  <si>
    <t>怪盗BisCoの予告状！！</t>
  </si>
  <si>
    <t>見習い天使と星降りの丘</t>
  </si>
  <si>
    <t>六花にくちづけ</t>
  </si>
  <si>
    <t>旅の終わりと祝祭の夜</t>
  </si>
  <si>
    <t>月船古書堂</t>
  </si>
  <si>
    <t>夢有</t>
  </si>
  <si>
    <r>
      <rPr>
        <sz val="11"/>
        <rFont val="宋体"/>
        <charset val="134"/>
      </rPr>
      <t>Des-ROW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組</t>
    </r>
  </si>
  <si>
    <t>145-170</t>
  </si>
  <si>
    <t>秘密がーる♡乙女</t>
  </si>
  <si>
    <t>MaMiKa(松下×mitsu×T.kakuta)</t>
  </si>
  <si>
    <t>天嘩乱舞</t>
  </si>
  <si>
    <t>栗須承之介</t>
  </si>
  <si>
    <t>檄</t>
  </si>
  <si>
    <t>Ryu☆ feat.青龍</t>
  </si>
  <si>
    <t>星宿る空の下で</t>
  </si>
  <si>
    <t>枝に結ぶ願い[2]</t>
  </si>
  <si>
    <t>jubeat clan</t>
  </si>
  <si>
    <t>Aerial Skydive</t>
  </si>
  <si>
    <t>Dirty Androids</t>
  </si>
  <si>
    <t>AI</t>
  </si>
  <si>
    <t>BEMANI Sound Team "Sota F."</t>
  </si>
  <si>
    <t>Alive in my Soul</t>
  </si>
  <si>
    <t>aran</t>
  </si>
  <si>
    <t>Another Phase</t>
  </si>
  <si>
    <t>Be a Hero!</t>
  </si>
  <si>
    <t>中島由貴</t>
  </si>
  <si>
    <t>Blue Sky</t>
  </si>
  <si>
    <t>chaplet[2]</t>
  </si>
  <si>
    <t>Couleur=Blanche</t>
  </si>
  <si>
    <t>#FFFFFF</t>
  </si>
  <si>
    <t>90-185</t>
  </si>
  <si>
    <t>Diastrophism</t>
  </si>
  <si>
    <t>かめりあ</t>
  </si>
  <si>
    <t>Evans ～NOSTALGIA Ver. ～</t>
  </si>
  <si>
    <t>DJ YOSHITAKA Arranged by まらしぃ</t>
  </si>
  <si>
    <t>112-182</t>
  </si>
  <si>
    <t>2026.06.16</t>
  </si>
  <si>
    <t>EXUSIA</t>
  </si>
  <si>
    <t>L.E.D.-G</t>
  </si>
  <si>
    <t>Fairy Fair</t>
  </si>
  <si>
    <t>ぺのれり</t>
  </si>
  <si>
    <t>Fly far bounce</t>
  </si>
  <si>
    <t>HEAVENLY MOON[2]</t>
  </si>
  <si>
    <t>Jazz is Rad</t>
  </si>
  <si>
    <t>ARM (IOSYS) + Brasscapsule</t>
  </si>
  <si>
    <t>Last Dress</t>
  </si>
  <si>
    <t>はるなば</t>
  </si>
  <si>
    <t>Life is beautiful</t>
  </si>
  <si>
    <t>BEMANI Sound Team "猫叉Master"</t>
  </si>
  <si>
    <t>Midnight City Warfare</t>
  </si>
  <si>
    <t>sky_delta</t>
  </si>
  <si>
    <t>Necroxis Girl</t>
  </si>
  <si>
    <t>BEMANI Sound Team "HuΣeR"</t>
  </si>
  <si>
    <t>Never See You Again</t>
  </si>
  <si>
    <t>BEMANI Sound Team "U1 overground"</t>
  </si>
  <si>
    <t>No One Can Reach The Truth</t>
  </si>
  <si>
    <t>BEMANI Sound Team "TAG"</t>
  </si>
  <si>
    <t>Northern Wind</t>
  </si>
  <si>
    <t>Nhato</t>
  </si>
  <si>
    <t>One More Reason</t>
  </si>
  <si>
    <t>Pale Garden</t>
  </si>
  <si>
    <t>Passion</t>
  </si>
  <si>
    <t>KAN TAKAHIKO</t>
  </si>
  <si>
    <t>105-120</t>
  </si>
  <si>
    <t>Pee-wee Boogie</t>
  </si>
  <si>
    <t>ARM</t>
  </si>
  <si>
    <t>45-180</t>
  </si>
  <si>
    <t>PF flowing</t>
  </si>
  <si>
    <t>Prey</t>
  </si>
  <si>
    <t>BEMANI Sound Team "Dustup"</t>
  </si>
  <si>
    <t>Puberty Dysthymia</t>
  </si>
  <si>
    <t>BEMANI Sound Team "person09"</t>
  </si>
  <si>
    <t>70-210</t>
  </si>
  <si>
    <t>Rampage☆Rag</t>
  </si>
  <si>
    <t>Rejoin</t>
  </si>
  <si>
    <t>BEMANI Sound Team "HuΣeR feat.PON"</t>
  </si>
  <si>
    <t>Roll the Dice</t>
  </si>
  <si>
    <t>lapix</t>
  </si>
  <si>
    <t>Scars of FAUNA[2]</t>
  </si>
  <si>
    <t>SEED[2]</t>
  </si>
  <si>
    <t>Shout!!</t>
  </si>
  <si>
    <t>Singularity</t>
  </si>
  <si>
    <r>
      <rPr>
        <sz val="11"/>
        <color rgb="FFFF0000"/>
        <rFont val="宋体"/>
        <charset val="134"/>
      </rPr>
      <t>smooooch</t>
    </r>
    <r>
      <rPr>
        <sz val="11"/>
        <color rgb="FFFF0000"/>
        <rFont val="MS Gothic"/>
        <charset val="134"/>
      </rPr>
      <t>・</t>
    </r>
    <r>
      <rPr>
        <sz val="11"/>
        <color rgb="FFFF0000"/>
        <rFont val="宋体"/>
        <charset val="134"/>
      </rPr>
      <t>∀</t>
    </r>
    <r>
      <rPr>
        <sz val="11"/>
        <color rgb="FFFF0000"/>
        <rFont val="MS Gothic"/>
        <charset val="134"/>
      </rPr>
      <t>・</t>
    </r>
    <r>
      <rPr>
        <sz val="11"/>
        <color rgb="FFFF0000"/>
        <rFont val="宋体"/>
        <charset val="134"/>
      </rPr>
      <t>[2]</t>
    </r>
  </si>
  <si>
    <t>STAR SHIP☆HERO</t>
  </si>
  <si>
    <t>Sulk</t>
  </si>
  <si>
    <t>SUPER SUMMER SALE</t>
  </si>
  <si>
    <t>Wandering Gravity</t>
  </si>
  <si>
    <t>Welcome!!</t>
  </si>
  <si>
    <t>Wowie Zowie!</t>
  </si>
  <si>
    <t>アガット[2]</t>
  </si>
  <si>
    <t>アドレナリン</t>
  </si>
  <si>
    <t>イ号零型[2]</t>
  </si>
  <si>
    <t>カラルの月[2]</t>
  </si>
  <si>
    <t>トキメキメカニクス</t>
  </si>
  <si>
    <t>ARM × 狐夢想 feat. nomico</t>
  </si>
  <si>
    <t>パピポペピプペパ</t>
  </si>
  <si>
    <t>ヘンゼルとグレーテル</t>
  </si>
  <si>
    <t>RoughSketch ft.Aikapin &amp; Chiyoko</t>
  </si>
  <si>
    <t>ミカヅキ:コネクト</t>
  </si>
  <si>
    <t>かゆき</t>
  </si>
  <si>
    <t>ヤマトなでなで♡かぐや姫</t>
  </si>
  <si>
    <t>ロマンチック♡Prim姫</t>
  </si>
  <si>
    <t>レゾンデートル、前線より</t>
  </si>
  <si>
    <t>飽和世界</t>
  </si>
  <si>
    <t>70-118</t>
  </si>
  <si>
    <t>風鈴花火</t>
  </si>
  <si>
    <t>BEMANI Sound Team "劇団レコード"feat.結良まり</t>
  </si>
  <si>
    <t>狂髪天を撫でて綴れ雲の綻び　五体北風に散りて痕も無し</t>
  </si>
  <si>
    <t>BEMANI Sound Team "Akhuta Works"</t>
  </si>
  <si>
    <t>星座が恋した瞬間を。</t>
  </si>
  <si>
    <t>BEMANI Sound Team "DJ TOTTO feat.MarL"</t>
  </si>
  <si>
    <t>羽根亡キ少女唄</t>
  </si>
  <si>
    <t>純情ディスコード</t>
  </si>
  <si>
    <t>インドがパッカーン！！煩悩マハラジャドリーム</t>
  </si>
  <si>
    <t>ARM × かたほとり ft. 柊木りお</t>
  </si>
  <si>
    <t>[E] [2]</t>
  </si>
  <si>
    <t>Afterimage d'automne</t>
  </si>
  <si>
    <t>BEMANI Sound Team "猫叉劇団"</t>
  </si>
  <si>
    <t>Aftermath</t>
  </si>
  <si>
    <t>BEMANI Sound Team "猫叉Master &amp; あさき &amp; Yvya"</t>
  </si>
  <si>
    <t>ALL MY HEART -この恋に、わたしの全てを賭げる-[2]</t>
  </si>
  <si>
    <t>Analyse Katharsis</t>
  </si>
  <si>
    <t>red glasses</t>
  </si>
  <si>
    <t>Arena Deiporta</t>
  </si>
  <si>
    <t>ATRAX</t>
  </si>
  <si>
    <t>BEEF</t>
  </si>
  <si>
    <t>BEMANI Sound Team "牛"</t>
  </si>
  <si>
    <t>BLACK JACKAL</t>
  </si>
  <si>
    <t>Akira Complex</t>
  </si>
  <si>
    <t>Boomy and The Boost</t>
  </si>
  <si>
    <t>Eagle</t>
  </si>
  <si>
    <t>Brawl</t>
  </si>
  <si>
    <t>東京アクティブNEETs</t>
  </si>
  <si>
    <t>Catapulted Arch</t>
  </si>
  <si>
    <t>Catch Our Fire!</t>
  </si>
  <si>
    <t>Chronos[2]</t>
  </si>
  <si>
    <t>cloche[2]</t>
  </si>
  <si>
    <t>Come to Life</t>
  </si>
  <si>
    <t>ARM (IOSYS) feat. Nicole Curry</t>
  </si>
  <si>
    <t>COSMIC SYMPHONY</t>
  </si>
  <si>
    <t>Crazy Shuffle</t>
  </si>
  <si>
    <t>Yooh</t>
  </si>
  <si>
    <t>December in Strasbourg</t>
  </si>
  <si>
    <t>nana(Sevencolors) feat.mana</t>
  </si>
  <si>
    <t>Din Don Dan</t>
  </si>
  <si>
    <t>Ryu☆ feat.Mayumi Morinaga</t>
  </si>
  <si>
    <t>Dream drip macchiato</t>
  </si>
  <si>
    <t>DUAL STRIKER</t>
  </si>
  <si>
    <t>Mayumi Morinaga,Fernweh by BEMANI Sound Team "L.E.D. &amp; HuΣeR"</t>
  </si>
  <si>
    <t>Duality</t>
  </si>
  <si>
    <t>BEMANI Sound Team "Yvya"</t>
  </si>
  <si>
    <t>EMOTiON TRiPPER</t>
  </si>
  <si>
    <t>Endless Beats ⇔ Endless Parties</t>
  </si>
  <si>
    <t>Fireball</t>
  </si>
  <si>
    <t>BEMANI Sound Team "Bumble Bee"</t>
  </si>
  <si>
    <t>Floating Eternity</t>
  </si>
  <si>
    <t>BEMANI Sound Team "Philosophy"</t>
  </si>
  <si>
    <t>Get On The Floor</t>
  </si>
  <si>
    <t>Ghost Clock</t>
  </si>
  <si>
    <t>Glitter Cube</t>
  </si>
  <si>
    <t>BEMANI Sound Team "dj TAKA"</t>
  </si>
  <si>
    <t>Globe Glitter</t>
  </si>
  <si>
    <t>Sana,ATSUMI UEDA by BEMANI Sound Team "PON"</t>
  </si>
  <si>
    <t>Hades Doll</t>
  </si>
  <si>
    <t>BEMANI Sound Team "Power Of Nature"</t>
  </si>
  <si>
    <t>Hero Revealed</t>
  </si>
  <si>
    <t>Hopeful Frontier!!!</t>
  </si>
  <si>
    <t>cosMo＠暴走P</t>
  </si>
  <si>
    <t>Icicles[2]</t>
  </si>
  <si>
    <t>I'm so Happy[2]</t>
  </si>
  <si>
    <t>In Your EyEs</t>
  </si>
  <si>
    <t>Jetcoaster Windy</t>
  </si>
  <si>
    <t>BEMANI Sound Team "dj TAKA" feat.のの</t>
  </si>
  <si>
    <t>Juicy</t>
  </si>
  <si>
    <t>kors k Lovers DJ Yoshitaka</t>
  </si>
  <si>
    <t>LAST OATH</t>
  </si>
  <si>
    <t>BEMANI Sound Team "劇団レコード"</t>
  </si>
  <si>
    <t>Lava Flow</t>
  </si>
  <si>
    <t>BEMANI Sound Team "S-C-U &amp; SYUNN"</t>
  </si>
  <si>
    <t>Lava Flow[2]</t>
  </si>
  <si>
    <t>×</t>
  </si>
  <si>
    <t>Life Connection[2]</t>
  </si>
  <si>
    <t>Life Without You</t>
  </si>
  <si>
    <t>BEMANI Sound Team "Sota Fujimori"</t>
  </si>
  <si>
    <t>Light Shine</t>
  </si>
  <si>
    <t>LIKE A VAMPIRE</t>
  </si>
  <si>
    <t>koyomi,星野奏子 by BEMANI Sound Team "TAKA"</t>
  </si>
  <si>
    <r>
      <rPr>
        <sz val="11"/>
        <rFont val="宋体"/>
        <charset val="134"/>
      </rPr>
      <t>MA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TSU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RI</t>
    </r>
  </si>
  <si>
    <t>かなたん,アマギセーラ,ぁゅ by BEMANI Sound Team "藤森崇多"</t>
  </si>
  <si>
    <t>Midsummer Madness</t>
  </si>
  <si>
    <t>MOVE! (We Keep It Movin')</t>
  </si>
  <si>
    <t>Jonny Dynamite!,Lisa - paint with stars -,Rio Hiiragi by BEMANI Sound Team "U1-ASAMi"</t>
  </si>
  <si>
    <t>Neuron</t>
  </si>
  <si>
    <t>BEMANI Sound Team "Expander"</t>
  </si>
  <si>
    <t>No Rule Adventure</t>
  </si>
  <si>
    <t>nora2r</t>
  </si>
  <si>
    <t>Noob実況24時!</t>
  </si>
  <si>
    <t>ARM × かたほとり ft. ちょこ</t>
  </si>
  <si>
    <t xml:space="preserve">Our Faith[2] </t>
  </si>
  <si>
    <t>Our Love</t>
  </si>
  <si>
    <t>Pacify</t>
  </si>
  <si>
    <t>BEMANI Sound Team "SYUNN"</t>
  </si>
  <si>
    <t>pedigree</t>
  </si>
  <si>
    <t>BEMANI Sound Team "S-C-U"</t>
  </si>
  <si>
    <t>Pegasus</t>
  </si>
  <si>
    <t>Phantasmagoria</t>
  </si>
  <si>
    <t>Maozon</t>
  </si>
  <si>
    <t>POSSESSION</t>
  </si>
  <si>
    <t>TAG underground</t>
  </si>
  <si>
    <t>Proof of the existence[2]</t>
  </si>
  <si>
    <t>Queen's Paradise[2]</t>
  </si>
  <si>
    <t>Radius</t>
  </si>
  <si>
    <t>RAISE YOUR HEADS UP</t>
  </si>
  <si>
    <t>Right Time Right Way</t>
  </si>
  <si>
    <t>ROCK ju</t>
  </si>
  <si>
    <t>C-Show</t>
  </si>
  <si>
    <t>Sahara</t>
  </si>
  <si>
    <t>95-155</t>
  </si>
  <si>
    <t>Sakura Sunrise[2]</t>
  </si>
  <si>
    <t>SigSig[2]</t>
  </si>
  <si>
    <t>Six String Proof</t>
  </si>
  <si>
    <t>BEMANI Sound Team "Yvya × Mutsuhiko Izumi"</t>
  </si>
  <si>
    <t>sola[2]</t>
  </si>
  <si>
    <t>Sorrows</t>
  </si>
  <si>
    <t>Asako Yoshihiro</t>
  </si>
  <si>
    <t>SPACE INASAKU</t>
  </si>
  <si>
    <t>BEMANI Sound Team "サイバー劇レコ"</t>
  </si>
  <si>
    <t>Sparkle Smilin'</t>
  </si>
  <si>
    <t>BEMANI Sound Team "Qrispy Joybox" feat.いちか</t>
  </si>
  <si>
    <t>Spica</t>
  </si>
  <si>
    <t>BEMANI Sound Team "TATSUYA"</t>
  </si>
  <si>
    <t>splash!</t>
  </si>
  <si>
    <t>BEMANI Sound Team "Trance Liquid"</t>
  </si>
  <si>
    <t>StaRgAZER</t>
  </si>
  <si>
    <t>Super GERO GE-RO</t>
  </si>
  <si>
    <t>Surf on the Light</t>
  </si>
  <si>
    <t>Tomoyuki Uchida</t>
  </si>
  <si>
    <t>60-160</t>
  </si>
  <si>
    <t>The Kingsroad</t>
  </si>
  <si>
    <t>RINZO</t>
  </si>
  <si>
    <t>TOON MANIAC</t>
  </si>
  <si>
    <t>Theme from"TOON MANIA"</t>
  </si>
  <si>
    <t>toy boxer</t>
  </si>
  <si>
    <t>Toy Robot Factory</t>
  </si>
  <si>
    <t>MARON (IOSYS)</t>
  </si>
  <si>
    <t>Trill auf G</t>
  </si>
  <si>
    <t>Triple Cross</t>
  </si>
  <si>
    <t>BEMANI Sound Team"dj TAKA &amp; DJ YOSHITAKA &amp; SYUNN"</t>
  </si>
  <si>
    <t>TRIUMPH</t>
  </si>
  <si>
    <t>AJURIKA</t>
  </si>
  <si>
    <t>True Blue[2]</t>
  </si>
  <si>
    <t>Underground Astronomy</t>
  </si>
  <si>
    <t>D.watt (IOSYS)</t>
  </si>
  <si>
    <t>VALLIS-NERIA[2]</t>
  </si>
  <si>
    <t>VIKING SHIP</t>
  </si>
  <si>
    <t>voltississimo</t>
  </si>
  <si>
    <t>BEMANI Sound Team "PHQUASE"</t>
  </si>
  <si>
    <t>WELCOME TO MOTOWN PARK</t>
  </si>
  <si>
    <t>Welcome to the Mosh Pit</t>
  </si>
  <si>
    <t>Winter Gift ～クリスピーからの贈りもの～</t>
  </si>
  <si>
    <t>Wuv U</t>
  </si>
  <si>
    <t>XENOViA</t>
  </si>
  <si>
    <t>BlackY</t>
  </si>
  <si>
    <t>X-ray binary</t>
  </si>
  <si>
    <t>アモ</t>
  </si>
  <si>
    <t>八月二雪</t>
  </si>
  <si>
    <t>おーまい！らぶりー！すうぃーてぃ！だーりん！</t>
  </si>
  <si>
    <t>BEMANI Sound Team "PON" feat.NU-KO</t>
  </si>
  <si>
    <t>キヤロラ衛星の軌跡</t>
  </si>
  <si>
    <t>工藤吉三（ベイシスケイプ）</t>
  </si>
  <si>
    <r>
      <rPr>
        <i/>
        <sz val="11"/>
        <color theme="0" tint="-0.15"/>
        <rFont val="宋体"/>
        <charset val="134"/>
      </rPr>
      <t>サヨナラ</t>
    </r>
    <r>
      <rPr>
        <i/>
        <sz val="11"/>
        <color theme="0" tint="-0.15"/>
        <rFont val="MS Gothic"/>
        <charset val="134"/>
      </rPr>
      <t>・</t>
    </r>
    <r>
      <rPr>
        <i/>
        <sz val="11"/>
        <color theme="0" tint="-0.15"/>
        <rFont val="宋体"/>
        <charset val="134"/>
      </rPr>
      <t>ヘヴン[2]</t>
    </r>
  </si>
  <si>
    <t>スーパー戦湯ババンバーン</t>
  </si>
  <si>
    <t>すわひでお,秋成,かぼちゃ,藍月なくる,NU-KO by BEMANI Sound Team "八戸亀生羅"</t>
  </si>
  <si>
    <t>スノーホワイト</t>
  </si>
  <si>
    <t>スミスえかきうた</t>
  </si>
  <si>
    <t>jubeat staff</t>
  </si>
  <si>
    <t>タンポポ</t>
  </si>
  <si>
    <t>豚乙女</t>
  </si>
  <si>
    <t>チュッチュ♪マチュピチュ</t>
  </si>
  <si>
    <t>ななひら,Nana Takahashi,猫体質 by BEMANI Sound Team "劇ダンサーレコード"</t>
  </si>
  <si>
    <t>ピアノ独奏無言歌 "灰燼"</t>
  </si>
  <si>
    <t>BEMANI Sound Team "Virkato Wakhmaninov"</t>
  </si>
  <si>
    <t>100-200</t>
  </si>
  <si>
    <t>ピザが食べたくてしょうがない皆さんの気持ちを代弁しました</t>
  </si>
  <si>
    <t>コバヤシユウヤ(IOSYS) feat. miko</t>
  </si>
  <si>
    <t>ビューティフル レシート</t>
  </si>
  <si>
    <t>ミッドナイト☆WAR</t>
  </si>
  <si>
    <t>いちか</t>
  </si>
  <si>
    <r>
      <rPr>
        <sz val="11"/>
        <rFont val="宋体"/>
        <charset val="134"/>
      </rPr>
      <t>めた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メタ？ひまわり＊パンチ</t>
    </r>
  </si>
  <si>
    <t>ひまわり∗パンチ</t>
  </si>
  <si>
    <t>ゆめのかなたで</t>
  </si>
  <si>
    <t>ユメブキ</t>
  </si>
  <si>
    <t>紫崎 雪,Risa Yuzuki,709sec. by BEMANI Sound Team "PHQUASE &amp; SYUNN"</t>
  </si>
  <si>
    <t>ラブキラ☆スプラッシュ</t>
  </si>
  <si>
    <t>BEMANI Sound Team "Sota F." feat.いちか</t>
  </si>
  <si>
    <t>ラプンツェル</t>
  </si>
  <si>
    <t>ランカーキラーガール</t>
  </si>
  <si>
    <t>中島由貴 × いちか</t>
  </si>
  <si>
    <r>
      <rPr>
        <sz val="11"/>
        <rFont val="宋体"/>
        <charset val="134"/>
      </rPr>
      <t>リカーシブ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ファンクション</t>
    </r>
  </si>
  <si>
    <t>リリーゼと炎龍レーヴァテイン</t>
  </si>
  <si>
    <t>斑咲花</t>
  </si>
  <si>
    <t>mami,駄々子 by BEMANI Sound Team "Akhuta Works"</t>
  </si>
  <si>
    <t>134-201</t>
  </si>
  <si>
    <t>茶渋シンドローム</t>
  </si>
  <si>
    <t>みゅい</t>
  </si>
  <si>
    <t>創世ノート[2]</t>
  </si>
  <si>
    <t>封隠文様</t>
  </si>
  <si>
    <t>駄々子</t>
  </si>
  <si>
    <t>海神</t>
  </si>
  <si>
    <t>兎々</t>
  </si>
  <si>
    <t>廻る季節のゆく先に</t>
  </si>
  <si>
    <t>激闘保安官！DEMPA撲滅大作戦</t>
  </si>
  <si>
    <t>ARM × かたほとり ft. ななひら</t>
  </si>
  <si>
    <t>狂水一華</t>
  </si>
  <si>
    <t>BEMANI Sound Team "HuΣeR Vs. SYUNN" feat.いちか</t>
  </si>
  <si>
    <t>恋 No リセットゲーム!!!!!</t>
  </si>
  <si>
    <t>DJ Genki feat. ななひら,yukacco,藍月なくる</t>
  </si>
  <si>
    <t>恋歌疾風！かるたクイーンいろは</t>
  </si>
  <si>
    <t>ねこまんまチーム！</t>
  </si>
  <si>
    <t>120-168</t>
  </si>
  <si>
    <t>少女、摩天楼へ</t>
  </si>
  <si>
    <t>世界の果てに約束の凱歌を -jubeat edition-</t>
  </si>
  <si>
    <t>太陽の滴</t>
  </si>
  <si>
    <t>CANVAS feat. Quimär</t>
  </si>
  <si>
    <t>星の小舟</t>
  </si>
  <si>
    <t>雨上がりの空に</t>
  </si>
  <si>
    <t>猫大樹</t>
  </si>
  <si>
    <t>月影小町</t>
  </si>
  <si>
    <t>鋳鉄の檻</t>
  </si>
  <si>
    <t>小寺可南子,ランコ,SARAH by BEMANI Sound Team "Yvya"</t>
  </si>
  <si>
    <t>追憶のアラウカリア</t>
  </si>
  <si>
    <t>Cororo</t>
  </si>
  <si>
    <t>灼熱Beach Side Bunny</t>
  </si>
  <si>
    <t>DJ Mass MAD Izm*</t>
  </si>
  <si>
    <t>最小三倍完全数</t>
  </si>
  <si>
    <t>†渚のリベンジΣ脈あり!?バケェ～ション†</t>
  </si>
  <si>
    <t>とろピカるサマー☆Prim</t>
  </si>
  <si>
    <t>After Rain</t>
  </si>
  <si>
    <t>PIKASONIC</t>
  </si>
  <si>
    <t>Anubis</t>
  </si>
  <si>
    <t>ARForest</t>
  </si>
  <si>
    <t>Blew My Mind</t>
  </si>
  <si>
    <t>brown hawk owl</t>
  </si>
  <si>
    <t>Chewingood!!!</t>
  </si>
  <si>
    <t>TORIENA</t>
  </si>
  <si>
    <t>Crackpot Evangelist</t>
  </si>
  <si>
    <t>BEMANI Sound Team "ZAQUVA"</t>
  </si>
  <si>
    <t>Cranberry</t>
  </si>
  <si>
    <t>BEMANI Sound Team "肥塚良彦"</t>
  </si>
  <si>
    <t>Daily Lunch Special[2]</t>
  </si>
  <si>
    <t>Dance With The Dead</t>
  </si>
  <si>
    <t>DIAMOND CROSSING</t>
  </si>
  <si>
    <t>S-C-U vs L.E.D.</t>
  </si>
  <si>
    <t>Don't believe the hype</t>
  </si>
  <si>
    <t>DJ Mass MAD Izm* feat.H14(LEONAIR)</t>
  </si>
  <si>
    <t>Elysion ex machina</t>
  </si>
  <si>
    <t>Explore Every Ave.</t>
  </si>
  <si>
    <t>Flying soda</t>
  </si>
  <si>
    <t>Freeway Shuffle</t>
  </si>
  <si>
    <t>Go Beyond!!</t>
  </si>
  <si>
    <t>Ryu☆ Vs. Sota</t>
  </si>
  <si>
    <t>HAPPY☆LUCKY☆YEAPPY</t>
  </si>
  <si>
    <t>DJ ミラクル☆ストーン</t>
  </si>
  <si>
    <t>Insanity</t>
  </si>
  <si>
    <t>BEMANI Sound Team "SYUNN &amp; Yvya"</t>
  </si>
  <si>
    <t>Insanity: Luna</t>
  </si>
  <si>
    <t>Insanity: Sol</t>
  </si>
  <si>
    <t>I-W-U (I Want U)</t>
  </si>
  <si>
    <t>nagomu tamaki</t>
  </si>
  <si>
    <t>La libertad</t>
  </si>
  <si>
    <t>Cheryl Horrocks</t>
  </si>
  <si>
    <t>Liar×Girl</t>
  </si>
  <si>
    <t>BEMANI Sound Team "HuΣeR" feat.ゆきまめ</t>
  </si>
  <si>
    <t>Lost Dream</t>
  </si>
  <si>
    <t>Tatsunoshin</t>
  </si>
  <si>
    <t>Love 2 Shuffle</t>
  </si>
  <si>
    <t>BEMANI Sound Team "Sota F." feat. Starbitz</t>
  </si>
  <si>
    <t>manticore</t>
  </si>
  <si>
    <t>BEMANI Sound Team "Amber"</t>
  </si>
  <si>
    <t>Metamorphic</t>
  </si>
  <si>
    <t>MONOLITH</t>
  </si>
  <si>
    <t>170-205</t>
  </si>
  <si>
    <t>Mr.REAPER</t>
  </si>
  <si>
    <t>eksΩ feat.ロクナナハチ</t>
  </si>
  <si>
    <t>nightbird lost wing</t>
  </si>
  <si>
    <t>out of focus</t>
  </si>
  <si>
    <t>Reach The Sky</t>
  </si>
  <si>
    <t>YUKIYANAGI</t>
  </si>
  <si>
    <t>Reincarnation Of Dead Petal</t>
  </si>
  <si>
    <t>satfinal</t>
  </si>
  <si>
    <t>RAM</t>
  </si>
  <si>
    <t>Slipstream</t>
  </si>
  <si>
    <t>Time Lapse</t>
  </si>
  <si>
    <t>Victory of the Century</t>
  </si>
  <si>
    <t>Virus Funk</t>
  </si>
  <si>
    <t>VOLAQUAS</t>
  </si>
  <si>
    <t>BEMANI Sound Team "DJ TOTTO VS 兎々"</t>
  </si>
  <si>
    <t>ZIGZAG COWBOY</t>
  </si>
  <si>
    <t>128-140</t>
  </si>
  <si>
    <t>エンドルフィン</t>
  </si>
  <si>
    <t>パーフェクトイーター</t>
  </si>
  <si>
    <t>BEMANI Sound Team "PON" feat.かなたん</t>
  </si>
  <si>
    <t>怪獣大戦争</t>
  </si>
  <si>
    <t>BEMANI Sound Team "桃山珍太郎"</t>
  </si>
  <si>
    <t>和beat</t>
  </si>
  <si>
    <t>Flash back Dominant</t>
  </si>
  <si>
    <t>見えない星の渡り方</t>
  </si>
  <si>
    <t>Capchii feat. ことの</t>
  </si>
  <si>
    <t>jubeat beyond the Ave.(如果有)</t>
  </si>
  <si>
    <t>[ ]DENTITY</t>
  </si>
  <si>
    <t>◎holic◎</t>
  </si>
  <si>
    <t>山本真央樹 feat.くりむ</t>
  </si>
  <si>
    <t>24/7 Popperz</t>
  </si>
  <si>
    <t>4x4 Parallel Universe</t>
  </si>
  <si>
    <t>kamome sano</t>
  </si>
  <si>
    <t>6次の隔たり</t>
  </si>
  <si>
    <t>BEMANI Sound Team "Sota F. Remixed by Coyaan"</t>
  </si>
  <si>
    <t>∞space</t>
  </si>
  <si>
    <t>m@sumi</t>
  </si>
  <si>
    <t>AIR RAID FROM THA UNDAGROUND[2]</t>
  </si>
  <si>
    <t>Amazing Bomberman</t>
  </si>
  <si>
    <t>TESSEI TOJO</t>
  </si>
  <si>
    <t>Angritte</t>
  </si>
  <si>
    <t>Lafale</t>
  </si>
  <si>
    <t>Any%</t>
  </si>
  <si>
    <t>めめめ</t>
  </si>
  <si>
    <t>beyond the Ave.</t>
  </si>
  <si>
    <t>Beyond The Earth</t>
  </si>
  <si>
    <t>BILLION MONEY BAZOOKA</t>
  </si>
  <si>
    <t>break through the clouds</t>
  </si>
  <si>
    <t>Caldwell 99</t>
  </si>
  <si>
    <t>Capitalism Cannon</t>
  </si>
  <si>
    <t>O2i3</t>
  </si>
  <si>
    <t>Caribbean Coast</t>
  </si>
  <si>
    <t>CRAZY ARTS</t>
  </si>
  <si>
    <t>FAKE TYPE.</t>
  </si>
  <si>
    <t>Crescive Volt</t>
  </si>
  <si>
    <t>Ark-Z</t>
  </si>
  <si>
    <t>Croissant</t>
  </si>
  <si>
    <t>Cross Fire</t>
  </si>
  <si>
    <t>Hommarju vs RoughSketch</t>
  </si>
  <si>
    <t>CUTIE</t>
  </si>
  <si>
    <t>KO3</t>
  </si>
  <si>
    <t>Devil's Rule</t>
  </si>
  <si>
    <t>Eternal Dream</t>
  </si>
  <si>
    <t>BEMANI Sound Team "Coyaan"</t>
  </si>
  <si>
    <t>EX-MASSIVE FIGHTER</t>
  </si>
  <si>
    <t>BEMANI Sound Team "L.E.D.-G"</t>
  </si>
  <si>
    <t>fallen leaves</t>
  </si>
  <si>
    <t>Fate</t>
  </si>
  <si>
    <t>Finally Dive</t>
  </si>
  <si>
    <t>ここなつ Produced by lapix</t>
  </si>
  <si>
    <t>HAPPY limelight</t>
  </si>
  <si>
    <t>Qrispy Joybox feat.Megumi Tatsumi</t>
  </si>
  <si>
    <t>Hexer</t>
  </si>
  <si>
    <t>Homesick Pt.2&amp;3</t>
  </si>
  <si>
    <t>ORANGENOISE SHORTCUT</t>
  </si>
  <si>
    <t>I LOVE COSMOS</t>
  </si>
  <si>
    <t>CHERRY BLOSSOMS (ASAKI &amp; wac)</t>
  </si>
  <si>
    <t>Ice Candy Coaster</t>
  </si>
  <si>
    <t>irucaice</t>
  </si>
  <si>
    <t>Icicle Cube</t>
  </si>
  <si>
    <t>BEMANI Sound Team "KE!JU"</t>
  </si>
  <si>
    <t>IGNITE THE IRON HEART</t>
  </si>
  <si>
    <t>BEMANI Sound Team "L.E.D."</t>
  </si>
  <si>
    <t>Indigo Nocturne</t>
  </si>
  <si>
    <t>It's my Miracle</t>
  </si>
  <si>
    <t>Another Infinity feat. Mayumi Morinaga</t>
  </si>
  <si>
    <t>Kilonova</t>
  </si>
  <si>
    <t>Krack Your Soul</t>
  </si>
  <si>
    <t>Daisuke Ohnuma</t>
  </si>
  <si>
    <t>Link up</t>
  </si>
  <si>
    <t>chocochips</t>
  </si>
  <si>
    <t>Magical electrica</t>
  </si>
  <si>
    <t>こふ</t>
  </si>
  <si>
    <t>mathematical good-bye</t>
  </si>
  <si>
    <t>三代目 ADULTIC TEACHERS feat. BEMANI Sound Team "スコーピオン志村"</t>
  </si>
  <si>
    <t>Music-U</t>
  </si>
  <si>
    <t>Qrispy Joybox feat.mao</t>
  </si>
  <si>
    <t>nalca</t>
  </si>
  <si>
    <t>onoken</t>
  </si>
  <si>
    <t>Never Look Back in Sorrow[2]</t>
  </si>
  <si>
    <t>New Decade[2]</t>
  </si>
  <si>
    <t>pray nightly</t>
  </si>
  <si>
    <t>Prowler</t>
  </si>
  <si>
    <t>QQ</t>
  </si>
  <si>
    <t>BEMANI Sound Team "PHQUASE &amp; ZAQUVA"</t>
  </si>
  <si>
    <t>ROCK THE PARTY</t>
  </si>
  <si>
    <t>RUINA</t>
  </si>
  <si>
    <t>Dustup VS MAX MAXIMIZER</t>
  </si>
  <si>
    <t>Seta Para Cima↑↑</t>
  </si>
  <si>
    <t>BEMANI Sound Team U1 overground"</t>
  </si>
  <si>
    <t>Signs and Wonders</t>
  </si>
  <si>
    <t>ネオン(CV:藤川茜)、芽兎めう(CV:五十嵐裕美)</t>
  </si>
  <si>
    <t>Smintheus</t>
  </si>
  <si>
    <t>TAN1CHU</t>
  </si>
  <si>
    <t>Sparkle Justice</t>
  </si>
  <si>
    <t>VALLEYSTONE&amp;udouddo</t>
  </si>
  <si>
    <t>Stylus</t>
  </si>
  <si>
    <t>SUPER HEROINE!!</t>
  </si>
  <si>
    <t>Amateras Records vs BEMANI Sound Team "TATSUYA" feat. miko</t>
  </si>
  <si>
    <t>Thanatøs</t>
  </si>
  <si>
    <t>THE LAST OF FIREFACE</t>
  </si>
  <si>
    <t>大和</t>
  </si>
  <si>
    <t>Touch Me</t>
  </si>
  <si>
    <t>BEMANI Sound Team "GekiReco &amp; Sota F."</t>
  </si>
  <si>
    <t>VOLAQUAS -GITADO ROCK ver.-</t>
  </si>
  <si>
    <t>voxel star arise</t>
  </si>
  <si>
    <t>ああああ</t>
  </si>
  <si>
    <t>White Stream</t>
  </si>
  <si>
    <t>Yelling</t>
  </si>
  <si>
    <t>Blacklolita</t>
  </si>
  <si>
    <t>アヤノトリ</t>
  </si>
  <si>
    <t>BEMANI Sound Team "PHQUASE" feat.ななひら</t>
  </si>
  <si>
    <t>ウラシブヤのテーマ</t>
  </si>
  <si>
    <t>ヨっちゃん</t>
  </si>
  <si>
    <t>エクスプロウル</t>
  </si>
  <si>
    <t>晴いちばん</t>
  </si>
  <si>
    <t>カラフルミニッツ[2]</t>
  </si>
  <si>
    <t>さらさ</t>
  </si>
  <si>
    <t>BEMANI Sound Team "PON"</t>
  </si>
  <si>
    <t>シュボレアちゃん星の交信</t>
  </si>
  <si>
    <t>ステラレギア</t>
  </si>
  <si>
    <t>ここなつ2.0</t>
  </si>
  <si>
    <t>ちくわパフェだよ☆ＣＫＰ (Yvya Remix)</t>
  </si>
  <si>
    <t>Remixed by BEMANI Sound Team "Yvya"</t>
  </si>
  <si>
    <t>チックタック@ラビリンス</t>
  </si>
  <si>
    <t>Tanchiky</t>
  </si>
  <si>
    <r>
      <rPr>
        <sz val="11"/>
        <color rgb="FF000000"/>
        <rFont val="宋体"/>
        <charset val="134"/>
      </rPr>
      <t>ハートシェイプ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スピカ</t>
    </r>
  </si>
  <si>
    <t>はらぺこヒーロー</t>
  </si>
  <si>
    <t>回せ！グルーヴ開発部</t>
  </si>
  <si>
    <t>ポラリスノウタ</t>
  </si>
  <si>
    <t>ムラサキグルマ</t>
  </si>
  <si>
    <t>ここなつ Produced by はるなば</t>
  </si>
  <si>
    <t>めうめうぺったんたん！！ (ZAQUVA Remix)</t>
  </si>
  <si>
    <t>Remixed by BEMANI Sound Team "ZAQUVA"</t>
  </si>
  <si>
    <t>メズマライザー</t>
  </si>
  <si>
    <t>サツキ</t>
  </si>
  <si>
    <t>メモリーズ</t>
  </si>
  <si>
    <t>ロマンシングエスケープ</t>
  </si>
  <si>
    <t>閉塞的フレーション</t>
  </si>
  <si>
    <t>Pizuya's Cell VS BEMANI Sound Team "dj TAKA"</t>
  </si>
  <si>
    <t>不沈艦CANDY</t>
  </si>
  <si>
    <t xml:space="preserve"> Risk Junk</t>
  </si>
  <si>
    <t>残像ニ繋ガレタ追憶ノHIDEAWAY</t>
  </si>
  <si>
    <t>SOUND HOLIC Vs. BEMANI Sound Team "KE!JU" feat. Nana Takahashi</t>
  </si>
  <si>
    <t>断罪のミメシス</t>
  </si>
  <si>
    <t>KE!JU</t>
  </si>
  <si>
    <t>華麗なる！音戯探偵ひなビタ♫</t>
  </si>
  <si>
    <t>音戯探偵ひなビタ♫</t>
  </si>
  <si>
    <t>幻想リフレクト</t>
  </si>
  <si>
    <t>イルカブ</t>
  </si>
  <si>
    <t>累乗のカルマ</t>
  </si>
  <si>
    <t>めと（Metomate）</t>
  </si>
  <si>
    <t>恋とメロンとキューピット</t>
  </si>
  <si>
    <t>まろん feat. キャサリン</t>
  </si>
  <si>
    <t>朧月覆う雲をも裂きぬ</t>
  </si>
  <si>
    <t>かめりあ feat. 藍月なくる</t>
  </si>
  <si>
    <t>輪廻の鴉</t>
  </si>
  <si>
    <t>双星ルミネセンス</t>
  </si>
  <si>
    <t>一舞 ＆ 夏陽</t>
  </si>
  <si>
    <t>弾幕信仰</t>
  </si>
  <si>
    <t>豚乙女×BEMANI Sound Team "PON"</t>
  </si>
  <si>
    <t>天鈴少女</t>
  </si>
  <si>
    <t>新蛇姫</t>
  </si>
  <si>
    <t>BEMANI Sound Team "U1-ASAMi"</t>
  </si>
  <si>
    <t>分类</t>
  </si>
  <si>
    <t>移植机种/（可能）有关联动</t>
  </si>
  <si>
    <t>Dash Dash Groovy Rush!!!</t>
  </si>
  <si>
    <t>GENESA MUSIC "DeadEye"</t>
  </si>
  <si>
    <t>华立独占</t>
  </si>
  <si>
    <t>Dim(t)ensions</t>
  </si>
  <si>
    <t>GENESA MUSIC "DynaSiren"</t>
  </si>
  <si>
    <t>ROM-ANTiC SYND-ROM</t>
  </si>
  <si>
    <t>MYUKKE.</t>
  </si>
  <si>
    <t>Iris</t>
  </si>
  <si>
    <t>GENESA MUSIC "Florist"</t>
  </si>
  <si>
    <t>Crystal Awakening</t>
  </si>
  <si>
    <t>Vania Mania</t>
  </si>
  <si>
    <t>Obsession</t>
  </si>
  <si>
    <t>GENESA MUSIC "MoleQ"</t>
  </si>
  <si>
    <t>Terminus</t>
  </si>
  <si>
    <t>GENESA MUSIC "CyanLotus"</t>
  </si>
  <si>
    <t>House of Deceit</t>
  </si>
  <si>
    <t>816ThreeNumbers</t>
  </si>
  <si>
    <t>Into the forever abyss</t>
  </si>
  <si>
    <t>GENESA MUSIC "L'avant"</t>
  </si>
  <si>
    <t>The Sapphire</t>
  </si>
  <si>
    <t>逆影 ~The Reversed Phantom~</t>
  </si>
  <si>
    <t>AMRITA -不滅ノ花-</t>
  </si>
  <si>
    <t>SOUND HOLIC feat. Nana Takahashi</t>
  </si>
  <si>
    <t>KONAMI/机种移植</t>
  </si>
  <si>
    <t>beatmania IIDX 28 BISTROVER</t>
  </si>
  <si>
    <t>FUTURE is Dead</t>
  </si>
  <si>
    <t>110-220</t>
  </si>
  <si>
    <t>beatmania IIDX 25 CANNON BALLERS</t>
  </si>
  <si>
    <t>Emblem of the Moon</t>
  </si>
  <si>
    <t>REFLEC BEAT 悠久のリフレシア</t>
  </si>
  <si>
    <t>火狐之舞</t>
  </si>
  <si>
    <t>影虎。</t>
  </si>
  <si>
    <t>SOUND VOLTEX EXCEED GEAR</t>
  </si>
  <si>
    <t>Épanouiss</t>
  </si>
  <si>
    <t>GENESA MUSIC "K9TIC"</t>
  </si>
  <si>
    <t>ENDGAME</t>
  </si>
  <si>
    <t>Yuta Imai</t>
  </si>
  <si>
    <t>Your SOUL Is Mine</t>
  </si>
  <si>
    <t>fZy</t>
  </si>
  <si>
    <t>アクマデ ~A Devil After All~</t>
  </si>
  <si>
    <t>华立电竞WEC2026</t>
  </si>
  <si>
    <t>Blue Bird feat. Kanae Asaba</t>
  </si>
  <si>
    <t>beatmania IIDX 29 CastHour</t>
  </si>
  <si>
    <t>Echoes of Sunfall</t>
  </si>
  <si>
    <t>beatmania IIDX 31 EPOLIS</t>
  </si>
  <si>
    <t>風詠之舞～カゼヨミノマイ</t>
  </si>
  <si>
    <t>Programmed Genom</t>
  </si>
  <si>
    <t>beatmania IIDX 30 RESIDENT</t>
  </si>
  <si>
    <t>Deadman falling</t>
  </si>
  <si>
    <t>THRERROR</t>
  </si>
  <si>
    <t>打打だいず</t>
  </si>
  <si>
    <t>Codex MyriaD</t>
  </si>
  <si>
    <t>GENESA MUSIC "#undef"</t>
  </si>
  <si>
    <t>REBEL</t>
  </si>
  <si>
    <t>ORIENTAL MESIA</t>
  </si>
  <si>
    <t>REFLEC BEAT VOLZZA 2</t>
  </si>
  <si>
    <t>Duration</t>
  </si>
  <si>
    <t>佐野電磁</t>
  </si>
  <si>
    <t>beatmania IIDX 27 HEROIC VERSE</t>
  </si>
  <si>
    <t>音乐魔方/原创分类</t>
  </si>
  <si>
    <t>Fete of Fate</t>
  </si>
  <si>
    <t>音乐魔方/原创</t>
  </si>
  <si>
    <t>The Encounter Code -jubeat Edit-</t>
  </si>
  <si>
    <t>technoplanet（from 华立电竞WEC2025）</t>
  </si>
  <si>
    <t>华立电竞WEC2025</t>
  </si>
  <si>
    <t>ln(guis·tics)-jubeat Edit-</t>
  </si>
  <si>
    <t>Sephid（from 华立电竞WEC2025）</t>
  </si>
  <si>
    <t>Remnath-jubeat Edit-</t>
  </si>
  <si>
    <t>ぺのれり（from 华立电竞WEC2025）</t>
  </si>
  <si>
    <t>Heracles</t>
  </si>
  <si>
    <t>Wildfire</t>
  </si>
  <si>
    <t>Big Daddy</t>
  </si>
  <si>
    <t>Conflict</t>
  </si>
  <si>
    <t>siromaru&amp;CRANKY</t>
  </si>
  <si>
    <t>HYPERBOUNCE</t>
  </si>
  <si>
    <t>EBIMAYO</t>
  </si>
  <si>
    <t>Booby Trap</t>
  </si>
  <si>
    <t>PUPA</t>
  </si>
  <si>
    <t>モリモリあつし</t>
  </si>
  <si>
    <t>Happy Traveling!!</t>
  </si>
  <si>
    <t>黒魔</t>
  </si>
  <si>
    <t>Siegfried</t>
  </si>
  <si>
    <t>Juggernaut.</t>
  </si>
  <si>
    <t>—</t>
  </si>
  <si>
    <t>Noiris</t>
  </si>
  <si>
    <t>打打だいず feat. 月乃</t>
  </si>
  <si>
    <t>MAGENTA POTION</t>
  </si>
  <si>
    <t>EmoCosine</t>
  </si>
  <si>
    <t>Holy Knight</t>
  </si>
  <si>
    <t>Road Hitta!(Feat.符白牙)</t>
  </si>
  <si>
    <t>ZAWA</t>
  </si>
  <si>
    <t>联动/音波狂潮</t>
  </si>
  <si>
    <t>INFINITE HYPERDRIVE</t>
  </si>
  <si>
    <t>Srav3R &amp; Kobaryo</t>
  </si>
  <si>
    <t>IGNITE</t>
  </si>
  <si>
    <t>USAO &amp; Massive New Krew</t>
  </si>
  <si>
    <t>Hush (Feat.刘佳宜 Snow)</t>
  </si>
  <si>
    <t>HJLL &amp; HoworD</t>
  </si>
  <si>
    <t>Ever U Want (Feat.符白牙)</t>
  </si>
  <si>
    <t>Shiroi-Ice</t>
  </si>
  <si>
    <t>Comet (Feat.符白牙)</t>
  </si>
  <si>
    <t>CNHKSS</t>
  </si>
  <si>
    <t>Celestial Axis</t>
  </si>
  <si>
    <t>C1-02, Issues_Fan, 萝卜Liqi, Yorken</t>
  </si>
  <si>
    <t>又一遍的歌</t>
  </si>
  <si>
    <t>永雏塔菲</t>
  </si>
  <si>
    <t>Break My Bones</t>
  </si>
  <si>
    <t>Zekk</t>
  </si>
  <si>
    <t>联动/Diverse System</t>
  </si>
  <si>
    <t>RE!NCARN4T10N</t>
  </si>
  <si>
    <t>音乐魔方/流行分类</t>
  </si>
  <si>
    <t>初次见面</t>
  </si>
  <si>
    <t>扭蛋姬</t>
  </si>
  <si>
    <t>音乐魔方/流行</t>
  </si>
  <si>
    <t>袖手旁棺</t>
  </si>
  <si>
    <t>自电感应</t>
  </si>
  <si>
    <t>慕星银</t>
  </si>
  <si>
    <t>新年快乐Go Go Go</t>
  </si>
  <si>
    <t>乐华家族（乐华娱乐群星）</t>
  </si>
  <si>
    <t>音乐魔方/流行（限时）</t>
  </si>
  <si>
    <t>浮华谣</t>
  </si>
  <si>
    <t>星云少女</t>
  </si>
  <si>
    <t>联动/Noi2E Lab</t>
  </si>
  <si>
    <t>ダダダ！大冒険の書</t>
  </si>
  <si>
    <t>恋音契约</t>
  </si>
  <si>
    <t>夜樱</t>
  </si>
  <si>
    <t>三无Marblue</t>
  </si>
  <si>
    <t>天灯愿</t>
  </si>
  <si>
    <t>TSH48</t>
  </si>
  <si>
    <t>夏日晴海</t>
  </si>
  <si>
    <t>三无Marblue &amp; 易言</t>
  </si>
  <si>
    <t>扑通扑通</t>
  </si>
  <si>
    <t>谢安然</t>
  </si>
  <si>
    <t>Crack On!!!</t>
  </si>
  <si>
    <t>艾因Eine/七海Nana7mi/阿萨Aza/阿梓从小就很可爱/小可学妹</t>
  </si>
  <si>
    <t>联动/VirtuaReal</t>
  </si>
  <si>
    <t>抓紧我的手</t>
  </si>
  <si>
    <t>未名行星</t>
  </si>
  <si>
    <t>离心记</t>
  </si>
  <si>
    <t>UwU Funk</t>
  </si>
  <si>
    <t>Lunak</t>
  </si>
  <si>
    <t>喔嘿！</t>
  </si>
  <si>
    <t>阿萨Aza</t>
  </si>
  <si>
    <t>安全地带</t>
  </si>
  <si>
    <t>阿梓从小就很可爱</t>
  </si>
  <si>
    <t>Lavish</t>
  </si>
  <si>
    <t>七海Nana7mi/阿梓从小就很可爱</t>
  </si>
  <si>
    <t>元气女孩</t>
  </si>
  <si>
    <t>hanser/七海Nana7mi</t>
  </si>
  <si>
    <t>炽夏流光</t>
  </si>
  <si>
    <t>VirtuaReal</t>
  </si>
  <si>
    <t>Will We Shine</t>
  </si>
  <si>
    <t>SaltySalt</t>
  </si>
  <si>
    <t>联动/MankaLive</t>
  </si>
  <si>
    <t>NO BATIDÃO</t>
  </si>
  <si>
    <t>PROPHECY</t>
  </si>
  <si>
    <t>Stay with me(Phonk)</t>
  </si>
  <si>
    <t>睡个好觉</t>
  </si>
  <si>
    <t>周深</t>
  </si>
  <si>
    <t>折断玫瑰</t>
  </si>
  <si>
    <t>张韶涵</t>
  </si>
  <si>
    <t>星光降落</t>
  </si>
  <si>
    <t>陆雨萱（贝儿）</t>
  </si>
  <si>
    <t>Deadend（活该）</t>
  </si>
  <si>
    <t>Tyson Yoshi / 王嘉尔</t>
  </si>
  <si>
    <t>TOOOOO BUSY</t>
  </si>
  <si>
    <t>王霏霏</t>
  </si>
  <si>
    <t>Pretty</t>
  </si>
  <si>
    <t>王鹤棣</t>
  </si>
  <si>
    <t>坏女孩</t>
  </si>
  <si>
    <t>By2</t>
  </si>
  <si>
    <t>拜托拜托</t>
  </si>
  <si>
    <t>王澳楠</t>
  </si>
  <si>
    <t>蝶々～Break out～</t>
  </si>
  <si>
    <t>祈Inory</t>
  </si>
  <si>
    <t>诀爱</t>
  </si>
  <si>
    <t>詹雯婷</t>
  </si>
  <si>
    <t>零距离的思念</t>
  </si>
  <si>
    <t>TINY7</t>
  </si>
  <si>
    <t>我爱你就像</t>
  </si>
  <si>
    <t>李承铉</t>
  </si>
  <si>
    <t>太极</t>
  </si>
  <si>
    <t>井胧/井迪</t>
  </si>
  <si>
    <t>音乐魔方Jubility理论值(20260616更新)</t>
  </si>
  <si>
    <t>MAX</t>
  </si>
  <si>
    <t>MAX(Hard Mode)</t>
  </si>
  <si>
    <t>歌曲</t>
  </si>
  <si>
    <t>版本</t>
  </si>
  <si>
    <t>难度</t>
  </si>
  <si>
    <t>定数</t>
  </si>
  <si>
    <t>Jubility单曲理论值</t>
  </si>
  <si>
    <t>Jubility单曲理论值（Hard Mode）</t>
  </si>
  <si>
    <t>COMMON SONG</t>
  </si>
  <si>
    <r>
      <rPr>
        <i/>
        <sz val="11"/>
        <color rgb="FF000000"/>
        <rFont val="宋体"/>
        <charset val="134"/>
      </rPr>
      <t xml:space="preserve">jubeat </t>
    </r>
    <r>
      <rPr>
        <i/>
        <sz val="11"/>
        <color rgb="FFFF0000"/>
        <rFont val="宋体"/>
        <charset val="134"/>
      </rPr>
      <t>c</t>
    </r>
    <r>
      <rPr>
        <i/>
        <sz val="11"/>
        <color rgb="FF00B0F0"/>
        <rFont val="宋体"/>
        <charset val="134"/>
      </rPr>
      <t>l</t>
    </r>
    <r>
      <rPr>
        <i/>
        <sz val="11"/>
        <color rgb="FFADD88D"/>
        <rFont val="宋体"/>
        <charset val="134"/>
      </rPr>
      <t>a</t>
    </r>
    <r>
      <rPr>
        <i/>
        <sz val="11"/>
        <color rgb="FF7030A0"/>
        <rFont val="宋体"/>
        <charset val="134"/>
      </rPr>
      <t>n</t>
    </r>
  </si>
  <si>
    <t>Pick Up SONG</t>
  </si>
  <si>
    <t>jubeat音乐魔方</t>
  </si>
  <si>
    <t>逆影 〜The Reversed Phantom〜</t>
  </si>
  <si>
    <t>Insanity:Luna</t>
  </si>
  <si>
    <t>音乐魔方Jubility理论值(20261015更新)</t>
  </si>
  <si>
    <t>MAX
(Normal Mode)</t>
  </si>
  <si>
    <t>MAX
(Hard Mode)</t>
  </si>
  <si>
    <t>jubility理论值定数个数总览</t>
  </si>
  <si>
    <t>Jubility单曲理论值
(Normal Mode)</t>
  </si>
  <si>
    <t>Jubility单曲理论值
（Hard Mode）</t>
  </si>
  <si>
    <t>总数</t>
  </si>
  <si>
    <t>COMMON</t>
  </si>
  <si>
    <t>PICK UP</t>
  </si>
  <si>
    <t>Remnath -jubeat Edit-</t>
  </si>
  <si>
    <t>Advance</t>
  </si>
  <si>
    <t>音乐魔方解禁II歌曲详情</t>
  </si>
  <si>
    <t>CHERRY</t>
  </si>
  <si>
    <t>KUMQUAT</t>
  </si>
  <si>
    <t>LIME</t>
  </si>
  <si>
    <t>BLUEBERRY</t>
  </si>
  <si>
    <t>等级</t>
  </si>
  <si>
    <t>2/5/8</t>
  </si>
  <si>
    <t>3/6/8</t>
  </si>
  <si>
    <t>3/5/8</t>
  </si>
  <si>
    <t>3/7/9.1</t>
  </si>
  <si>
    <t>3/6/9</t>
  </si>
  <si>
    <t>4/7/9.1</t>
  </si>
  <si>
    <t>3/5/9.1</t>
  </si>
  <si>
    <t>3/7/9.3</t>
  </si>
  <si>
    <t>2/5/9.2</t>
  </si>
  <si>
    <t>4/7/9.2</t>
  </si>
  <si>
    <t>4/7/9.5</t>
  </si>
  <si>
    <t>3/7/9.5</t>
  </si>
  <si>
    <t>3/6/9.4</t>
  </si>
  <si>
    <t>4/6/9.3</t>
  </si>
  <si>
    <t>5/7/9.7</t>
  </si>
  <si>
    <t>4/6/9.6</t>
  </si>
  <si>
    <t>5/7/9.4</t>
  </si>
  <si>
    <t>4/6/9.5</t>
  </si>
  <si>
    <t>5/7/9.8</t>
  </si>
  <si>
    <t>4/7/9.7</t>
  </si>
  <si>
    <t>3/7/9.6</t>
  </si>
  <si>
    <t>3/7/9.7</t>
  </si>
  <si>
    <t>3/7/10</t>
  </si>
  <si>
    <t>4/8/10.1</t>
  </si>
  <si>
    <t>4/7/10</t>
  </si>
  <si>
    <t>5/7/10.3</t>
  </si>
  <si>
    <t>3/6/10.1</t>
  </si>
  <si>
    <t>3/8/10.2</t>
  </si>
  <si>
    <t>3/7/10.2</t>
  </si>
  <si>
    <t>5/8/10.3</t>
  </si>
  <si>
    <t>3/7/10.3</t>
  </si>
  <si>
    <t>5/9.6/10.3</t>
  </si>
  <si>
    <t>5/8/10.4</t>
  </si>
  <si>
    <t>5/7/10.4</t>
  </si>
  <si>
    <t>3/9.5/10.4</t>
  </si>
  <si>
    <t>1/7/10.5</t>
  </si>
  <si>
    <t>4/7/10.5</t>
  </si>
  <si>
    <t>4/8/10.5</t>
  </si>
  <si>
    <t>5/8/10.5</t>
  </si>
  <si>
    <t>7/9.6/10.7</t>
  </si>
  <si>
    <t>7/9.2/10.6</t>
  </si>
  <si>
    <t>6/10.4/10.6</t>
  </si>
  <si>
    <t>5/8/10.6</t>
  </si>
  <si>
    <t>RAINBOW</t>
  </si>
  <si>
    <t>4/8/9.7</t>
  </si>
  <si>
    <t>3/7/9.8</t>
  </si>
  <si>
    <t>4/7/9.3</t>
  </si>
  <si>
    <r>
      <rPr>
        <sz val="11"/>
        <rFont val="宋体"/>
        <charset val="134"/>
      </rPr>
      <t>smooooch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∀</t>
    </r>
    <r>
      <rPr>
        <sz val="11"/>
        <rFont val="MS Gothic"/>
        <charset val="134"/>
      </rPr>
      <t>・</t>
    </r>
    <r>
      <rPr>
        <sz val="11"/>
        <rFont val="宋体"/>
        <charset val="134"/>
      </rPr>
      <t>[2]</t>
    </r>
  </si>
  <si>
    <t>3/8/10.1</t>
  </si>
  <si>
    <t>4/8/10.3</t>
  </si>
  <si>
    <t>5/8/9.7</t>
  </si>
  <si>
    <t>5/8/10.7</t>
  </si>
  <si>
    <t>7/9.5/10.7</t>
  </si>
  <si>
    <r>
      <rPr>
        <sz val="11"/>
        <rFont val="宋体"/>
        <charset val="134"/>
      </rPr>
      <t>Glitter Flatter Scatter</t>
    </r>
  </si>
  <si>
    <t>6/9.3/10.7</t>
  </si>
  <si>
    <t>5/9.6/10.7</t>
  </si>
  <si>
    <t>7/10.2/10.9</t>
  </si>
  <si>
    <t>pick up（10+）</t>
  </si>
  <si>
    <r>
      <rPr>
        <sz val="11"/>
        <rFont val="宋体"/>
        <charset val="134"/>
      </rPr>
      <t>定数</t>
    </r>
  </si>
  <si>
    <r>
      <rPr>
        <sz val="11"/>
        <rFont val="宋体"/>
        <charset val="134"/>
      </rPr>
      <t>个数</t>
    </r>
  </si>
  <si>
    <r>
      <rPr>
        <sz val="11"/>
        <rFont val="宋体"/>
        <charset val="134"/>
      </rPr>
      <t>初出代</t>
    </r>
  </si>
  <si>
    <t>Insanity:Sol</t>
  </si>
  <si>
    <r>
      <rPr>
        <sz val="11"/>
        <color rgb="FFFF0000"/>
        <rFont val="微软雅黑"/>
        <charset val="134"/>
      </rPr>
      <t>smooooch・</t>
    </r>
    <r>
      <rPr>
        <sz val="11"/>
        <color rgb="FFFF0000"/>
        <rFont val="宋体"/>
        <charset val="134"/>
      </rPr>
      <t>∀</t>
    </r>
    <r>
      <rPr>
        <sz val="11"/>
        <color rgb="FFFF0000"/>
        <rFont val="微软雅黑"/>
        <charset val="134"/>
      </rPr>
      <t>・[2]</t>
    </r>
  </si>
  <si>
    <t>RE!NCARN4T1ON</t>
  </si>
  <si>
    <t>アクマデ -A Devil After All-</t>
  </si>
  <si>
    <t>pick up（9+）</t>
  </si>
  <si>
    <t>めた・メタ？ひまわり＊パンチ</t>
  </si>
  <si>
    <t>Ever U Want(Feat.符白牙)</t>
  </si>
  <si>
    <t>Comet(Feat.符白牙)</t>
  </si>
  <si>
    <r>
      <rPr>
        <sz val="11"/>
        <rFont val="微软雅黑"/>
        <charset val="134"/>
      </rPr>
      <t>ヤマトなでなで</t>
    </r>
    <r>
      <rPr>
        <sz val="11"/>
        <rFont val="宋体"/>
        <charset val="134"/>
      </rPr>
      <t>♡</t>
    </r>
    <r>
      <rPr>
        <sz val="11"/>
        <rFont val="微软雅黑"/>
        <charset val="134"/>
      </rPr>
      <t>かぐや姫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</si>
</sst>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65">
    <font>
      <sz val="11"/>
      <name val="宋体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b/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F2BA02"/>
      <name val="Times New Roman"/>
      <charset val="134"/>
    </font>
    <font>
      <sz val="11"/>
      <color rgb="FFFF0000"/>
      <name val="微软雅黑"/>
      <charset val="134"/>
    </font>
    <font>
      <sz val="11"/>
      <color rgb="FFFFFFFF"/>
      <name val="Times New Roman"/>
      <charset val="134"/>
    </font>
    <font>
      <i/>
      <sz val="11"/>
      <color rgb="FF00B0F0"/>
      <name val="Times New Roman"/>
      <charset val="134"/>
    </font>
    <font>
      <b/>
      <sz val="11"/>
      <name val="Times New Roman"/>
      <charset val="134"/>
    </font>
    <font>
      <sz val="11"/>
      <color rgb="FF101418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i/>
      <sz val="14"/>
      <color rgb="FFFFFFFF"/>
      <name val="Times New Roman"/>
      <charset val="134"/>
    </font>
    <font>
      <i/>
      <sz val="11"/>
      <color rgb="FF00B0F0"/>
      <name val="宋体"/>
      <charset val="134"/>
    </font>
    <font>
      <i/>
      <sz val="11"/>
      <color rgb="FF000000"/>
      <name val="宋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sz val="12"/>
      <color theme="9" tint="0.6"/>
      <name val="Arial Black"/>
      <charset val="134"/>
    </font>
    <font>
      <sz val="11"/>
      <color theme="6" tint="0.4"/>
      <name val="Arial Black"/>
      <charset val="134"/>
    </font>
    <font>
      <b/>
      <sz val="14"/>
      <color rgb="FF000000"/>
      <name val="Times New Roman"/>
      <charset val="134"/>
    </font>
    <font>
      <b/>
      <sz val="14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C000"/>
      <name val="宋体"/>
      <charset val="134"/>
    </font>
    <font>
      <sz val="11"/>
      <color rgb="FF00B050"/>
      <name val="宋体"/>
      <charset val="134"/>
    </font>
    <font>
      <b/>
      <sz val="11"/>
      <name val="宋体"/>
      <charset val="134"/>
    </font>
    <font>
      <b/>
      <sz val="11"/>
      <color rgb="FF202122"/>
      <name val="宋体"/>
      <charset val="134"/>
    </font>
    <font>
      <i/>
      <sz val="11"/>
      <color theme="2" tint="-0.1"/>
      <name val="宋体"/>
      <charset val="134"/>
    </font>
    <font>
      <sz val="11"/>
      <color theme="2" tint="-0.1"/>
      <name val="宋体"/>
      <charset val="134"/>
    </font>
    <font>
      <sz val="11"/>
      <color rgb="FF202122"/>
      <name val="宋体"/>
      <charset val="134"/>
    </font>
    <font>
      <i/>
      <sz val="11"/>
      <color theme="0" tint="-0.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Gothic"/>
      <charset val="134"/>
    </font>
    <font>
      <i/>
      <sz val="11"/>
      <color rgb="FFFF0000"/>
      <name val="宋体"/>
      <charset val="134"/>
    </font>
    <font>
      <i/>
      <sz val="11"/>
      <color rgb="FFADD88D"/>
      <name val="宋体"/>
      <charset val="134"/>
    </font>
    <font>
      <i/>
      <sz val="11"/>
      <color rgb="FF7030A0"/>
      <name val="宋体"/>
      <charset val="134"/>
    </font>
    <font>
      <i/>
      <sz val="11"/>
      <color theme="0" tint="-0.15"/>
      <name val="MS Gothic"/>
      <charset val="134"/>
    </font>
    <font>
      <sz val="11"/>
      <color rgb="FF000000"/>
      <name val="MS Gothic"/>
      <charset val="134"/>
    </font>
    <font>
      <i/>
      <sz val="11"/>
      <color rgb="FFFF0000"/>
      <name val="Times New Roman"/>
      <charset val="134"/>
    </font>
    <font>
      <i/>
      <sz val="11"/>
      <color rgb="FFADD88D"/>
      <name val="Times New Roman"/>
      <charset val="134"/>
    </font>
    <font>
      <i/>
      <sz val="11"/>
      <color rgb="FF7030A0"/>
      <name val="Times New Roman"/>
      <charset val="134"/>
    </font>
    <font>
      <sz val="11"/>
      <color rgb="FFFF0000"/>
      <name val="MS Gothic"/>
      <charset val="134"/>
    </font>
  </fonts>
  <fills count="53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22" borderId="1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3" borderId="4" applyNumberFormat="0" applyAlignment="0" applyProtection="0">
      <alignment vertical="center"/>
    </xf>
    <xf numFmtId="0" fontId="45" fillId="24" borderId="5" applyNumberFormat="0" applyAlignment="0" applyProtection="0">
      <alignment vertical="center"/>
    </xf>
    <xf numFmtId="0" fontId="46" fillId="24" borderId="4" applyNumberFormat="0" applyAlignment="0" applyProtection="0">
      <alignment vertical="center"/>
    </xf>
    <xf numFmtId="0" fontId="47" fillId="25" borderId="6" applyNumberFormat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5" fillId="20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9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vertical="center" wrapText="1"/>
    </xf>
    <xf numFmtId="0" fontId="15" fillId="10" borderId="0" xfId="0" applyFont="1" applyFill="1" applyAlignment="1">
      <alignment horizontal="center" vertical="center"/>
    </xf>
    <xf numFmtId="0" fontId="33" fillId="0" borderId="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0"/>
  <sheetViews>
    <sheetView zoomScale="85" zoomScaleNormal="85" topLeftCell="A492" workbookViewId="0">
      <selection activeCell="N21" sqref="N21"/>
    </sheetView>
  </sheetViews>
  <sheetFormatPr defaultColWidth="9" defaultRowHeight="14.4"/>
  <cols>
    <col min="1" max="1" width="11.962962962963" style="28" customWidth="1"/>
    <col min="2" max="2" width="73.7777777777778" style="79" customWidth="1"/>
    <col min="3" max="3" width="76.7777777777778" style="79" customWidth="1"/>
    <col min="4" max="4" width="8.88888888888889" style="28" customWidth="1"/>
    <col min="5" max="5" width="8.39814814814815" style="28" customWidth="1"/>
    <col min="6" max="6" width="10.7407407407407" style="28" customWidth="1"/>
    <col min="7" max="7" width="10.2407407407407" style="28" customWidth="1"/>
    <col min="8" max="8" width="10.9907407407407" style="28" customWidth="1"/>
    <col min="9" max="9" width="20.8888888888889" style="28" customWidth="1"/>
    <col min="10" max="10" width="21.6666666666667" style="28" customWidth="1"/>
    <col min="11" max="11" width="9" style="28"/>
    <col min="12" max="12" width="23.1111111111111" style="28" customWidth="1"/>
    <col min="13" max="13" width="7.89814814814815" style="28" customWidth="1"/>
    <col min="14" max="14" width="7.15740740740741" style="28" customWidth="1"/>
    <col min="15" max="15" width="9" style="28"/>
    <col min="16" max="16" width="4.66666666666667" style="28" hidden="1" customWidth="1"/>
    <col min="17" max="18" width="3.66666666666667" style="28" hidden="1" customWidth="1"/>
    <col min="19" max="19" width="9" style="28" hidden="1" customWidth="1"/>
    <col min="20" max="20" width="4.66666666666667" style="28" hidden="1" customWidth="1"/>
    <col min="21" max="21" width="9" style="28" hidden="1" customWidth="1"/>
    <col min="22" max="22" width="2.66666666666667" style="28" hidden="1" customWidth="1"/>
    <col min="23" max="16384" width="9" style="28"/>
  </cols>
  <sheetData>
    <row r="1" spans="1:22">
      <c r="A1" s="73" t="s">
        <v>0</v>
      </c>
      <c r="B1" s="80" t="s">
        <v>1</v>
      </c>
      <c r="C1" s="80" t="s">
        <v>2</v>
      </c>
      <c r="D1" s="81" t="s">
        <v>3</v>
      </c>
      <c r="E1" s="81" t="s">
        <v>4</v>
      </c>
      <c r="F1" s="81"/>
      <c r="G1" s="81"/>
      <c r="H1" s="82" t="s">
        <v>5</v>
      </c>
      <c r="I1" s="82" t="s">
        <v>6</v>
      </c>
      <c r="J1" s="82" t="s">
        <v>7</v>
      </c>
      <c r="L1" s="46" t="s">
        <v>8</v>
      </c>
      <c r="M1" s="46"/>
      <c r="N1" s="46"/>
    </row>
    <row r="2" spans="1:22">
      <c r="A2" s="73"/>
      <c r="B2" s="80"/>
      <c r="C2" s="80"/>
      <c r="D2" s="81"/>
      <c r="E2" s="81" t="s">
        <v>9</v>
      </c>
      <c r="F2" s="81" t="s">
        <v>10</v>
      </c>
      <c r="G2" s="81" t="s">
        <v>11</v>
      </c>
      <c r="H2" s="82"/>
      <c r="I2" s="82"/>
      <c r="J2" s="82"/>
      <c r="L2" s="46"/>
      <c r="M2" s="46"/>
      <c r="N2" s="46"/>
    </row>
    <row r="3" spans="1:22">
      <c r="A3" s="83" t="s">
        <v>12</v>
      </c>
      <c r="B3" s="83"/>
      <c r="C3" s="83"/>
      <c r="D3" s="83"/>
      <c r="E3" s="83"/>
      <c r="F3" s="83"/>
      <c r="G3" s="83"/>
      <c r="H3" s="83"/>
      <c r="I3" s="83"/>
      <c r="J3" s="84"/>
      <c r="L3" s="59" t="s">
        <v>12</v>
      </c>
      <c r="M3" s="85">
        <f>COUNTBLANK(H4:H14)</f>
        <v>0</v>
      </c>
      <c r="N3" s="28">
        <f>COUNTA(H4:H14)</f>
        <v>11</v>
      </c>
      <c r="P3" s="28">
        <v>10</v>
      </c>
      <c r="Q3" s="28">
        <v>1</v>
      </c>
      <c r="R3" s="28">
        <v>0</v>
      </c>
      <c r="T3" s="28">
        <f>SUM(P3:R3)</f>
        <v>11</v>
      </c>
      <c r="V3" s="28">
        <f>N3-T3</f>
        <v>0</v>
      </c>
    </row>
    <row r="4" spans="1:22">
      <c r="A4" s="28">
        <v>10000036</v>
      </c>
      <c r="B4" s="34" t="s">
        <v>13</v>
      </c>
      <c r="C4" s="34" t="s">
        <v>14</v>
      </c>
      <c r="D4" s="86">
        <v>140</v>
      </c>
      <c r="E4" s="86">
        <v>5</v>
      </c>
      <c r="F4" s="86">
        <v>6</v>
      </c>
      <c r="G4" s="86">
        <v>8</v>
      </c>
      <c r="H4" s="83" t="s">
        <v>15</v>
      </c>
      <c r="I4" s="87" t="s">
        <v>16</v>
      </c>
      <c r="J4" s="59" t="s">
        <v>12</v>
      </c>
      <c r="L4" s="58" t="s">
        <v>17</v>
      </c>
      <c r="M4" s="85">
        <f>COUNTBLANK(H16:H30)</f>
        <v>0</v>
      </c>
      <c r="N4" s="28">
        <f>COUNTA(H16:H30)</f>
        <v>15</v>
      </c>
      <c r="P4" s="28">
        <v>12</v>
      </c>
      <c r="Q4" s="28">
        <v>3</v>
      </c>
      <c r="R4" s="28">
        <v>0</v>
      </c>
      <c r="T4" s="28">
        <f t="shared" ref="T4:T13" si="0">SUM(P4:R4)</f>
        <v>15</v>
      </c>
      <c r="V4" s="28">
        <f t="shared" ref="V4:V13" si="1">N4-T4</f>
        <v>0</v>
      </c>
    </row>
    <row r="5" spans="1:22">
      <c r="A5" s="28">
        <v>10000045</v>
      </c>
      <c r="B5" s="34" t="s">
        <v>18</v>
      </c>
      <c r="C5" s="34" t="s">
        <v>19</v>
      </c>
      <c r="D5" s="86">
        <v>150</v>
      </c>
      <c r="E5" s="86">
        <v>5</v>
      </c>
      <c r="F5" s="86">
        <v>6</v>
      </c>
      <c r="G5" s="86">
        <v>7</v>
      </c>
      <c r="H5" s="83" t="s">
        <v>15</v>
      </c>
      <c r="I5" s="28" t="s">
        <v>20</v>
      </c>
      <c r="J5" s="59" t="s">
        <v>12</v>
      </c>
      <c r="L5" s="88" t="s">
        <v>21</v>
      </c>
      <c r="M5" s="85">
        <f>COUNTBLANK(H32:H47)</f>
        <v>1</v>
      </c>
      <c r="N5" s="28">
        <f>COUNTA(H32:H47)</f>
        <v>15</v>
      </c>
      <c r="P5" s="28">
        <v>15</v>
      </c>
      <c r="Q5" s="28">
        <v>0</v>
      </c>
      <c r="R5" s="28">
        <v>0</v>
      </c>
      <c r="T5" s="28">
        <f t="shared" si="0"/>
        <v>15</v>
      </c>
      <c r="V5" s="28">
        <f t="shared" si="1"/>
        <v>0</v>
      </c>
    </row>
    <row r="6" spans="1:22">
      <c r="A6" s="28">
        <v>10000065</v>
      </c>
      <c r="B6" s="34" t="s">
        <v>22</v>
      </c>
      <c r="C6" s="34" t="s">
        <v>23</v>
      </c>
      <c r="D6" s="86">
        <v>185</v>
      </c>
      <c r="E6" s="86">
        <v>6</v>
      </c>
      <c r="F6" s="86">
        <v>8</v>
      </c>
      <c r="G6" s="86">
        <v>10.6</v>
      </c>
      <c r="H6" s="79" t="s">
        <v>15</v>
      </c>
      <c r="I6" s="28" t="s">
        <v>24</v>
      </c>
      <c r="J6" s="59" t="s">
        <v>12</v>
      </c>
      <c r="L6" s="60" t="s">
        <v>25</v>
      </c>
      <c r="M6" s="85">
        <f>COUNTBLANK(H49:H77)</f>
        <v>1</v>
      </c>
      <c r="N6" s="28">
        <f>COUNTA(H49:H77)</f>
        <v>28</v>
      </c>
      <c r="P6" s="28">
        <v>25</v>
      </c>
      <c r="Q6" s="28">
        <v>2</v>
      </c>
      <c r="R6" s="28">
        <v>0</v>
      </c>
      <c r="T6" s="28">
        <f t="shared" si="0"/>
        <v>27</v>
      </c>
      <c r="V6" s="28">
        <f t="shared" si="1"/>
        <v>1</v>
      </c>
    </row>
    <row r="7" spans="1:22">
      <c r="A7" s="28">
        <v>10000038</v>
      </c>
      <c r="B7" s="34" t="s">
        <v>26</v>
      </c>
      <c r="C7" s="34">
        <v>96</v>
      </c>
      <c r="D7" s="86">
        <v>135</v>
      </c>
      <c r="E7" s="86">
        <v>6</v>
      </c>
      <c r="F7" s="86">
        <v>7</v>
      </c>
      <c r="G7" s="86">
        <v>9.7</v>
      </c>
      <c r="H7" s="83" t="s">
        <v>15</v>
      </c>
      <c r="I7" s="87" t="s">
        <v>16</v>
      </c>
      <c r="J7" s="59" t="s">
        <v>12</v>
      </c>
      <c r="L7" s="10" t="s">
        <v>27</v>
      </c>
      <c r="M7" s="85">
        <f>COUNTBLANK(H79:H216)</f>
        <v>10</v>
      </c>
      <c r="N7" s="28">
        <f>COUNTA(H79:H216)</f>
        <v>128</v>
      </c>
      <c r="P7" s="28">
        <v>104</v>
      </c>
      <c r="Q7" s="28">
        <v>19</v>
      </c>
      <c r="R7" s="28">
        <v>2</v>
      </c>
      <c r="T7" s="28">
        <f t="shared" si="0"/>
        <v>125</v>
      </c>
      <c r="V7" s="28">
        <f t="shared" si="1"/>
        <v>3</v>
      </c>
    </row>
    <row r="8" spans="1:22">
      <c r="A8" s="28">
        <v>10000039</v>
      </c>
      <c r="B8" s="34" t="s">
        <v>28</v>
      </c>
      <c r="C8" s="34" t="s">
        <v>29</v>
      </c>
      <c r="D8" s="86">
        <v>158</v>
      </c>
      <c r="E8" s="86">
        <v>4</v>
      </c>
      <c r="F8" s="86">
        <v>6</v>
      </c>
      <c r="G8" s="86">
        <v>8</v>
      </c>
      <c r="H8" s="79" t="s">
        <v>15</v>
      </c>
      <c r="I8" s="28" t="s">
        <v>24</v>
      </c>
      <c r="J8" s="59" t="s">
        <v>12</v>
      </c>
      <c r="L8" s="17" t="s">
        <v>30</v>
      </c>
      <c r="M8" s="85">
        <f>COUNTBLANK(H218:H249)</f>
        <v>4</v>
      </c>
      <c r="N8" s="28">
        <f>COUNTA(H218:H249)</f>
        <v>28</v>
      </c>
      <c r="P8" s="28">
        <v>24</v>
      </c>
      <c r="Q8" s="28">
        <v>2</v>
      </c>
      <c r="R8" s="28">
        <v>1</v>
      </c>
      <c r="T8" s="28">
        <f t="shared" si="0"/>
        <v>27</v>
      </c>
      <c r="V8" s="28">
        <f t="shared" si="1"/>
        <v>1</v>
      </c>
    </row>
    <row r="9" spans="1:22">
      <c r="A9" s="28">
        <v>10000040</v>
      </c>
      <c r="B9" s="34" t="s">
        <v>31</v>
      </c>
      <c r="C9" s="34" t="s">
        <v>32</v>
      </c>
      <c r="D9" s="86">
        <v>198</v>
      </c>
      <c r="E9" s="86">
        <v>5</v>
      </c>
      <c r="F9" s="86">
        <v>7</v>
      </c>
      <c r="G9" s="86">
        <v>8</v>
      </c>
      <c r="H9" s="79" t="s">
        <v>15</v>
      </c>
      <c r="I9" s="28" t="s">
        <v>24</v>
      </c>
      <c r="J9" s="59" t="s">
        <v>12</v>
      </c>
      <c r="L9" s="27" t="s">
        <v>33</v>
      </c>
      <c r="M9" s="85">
        <f>COUNTBLANK(H251:H287)</f>
        <v>9</v>
      </c>
      <c r="N9" s="28">
        <f>COUNTA(H251:H287)</f>
        <v>28</v>
      </c>
      <c r="P9" s="28">
        <v>20</v>
      </c>
      <c r="Q9" s="28">
        <v>6</v>
      </c>
      <c r="R9" s="28">
        <v>1</v>
      </c>
      <c r="T9" s="28">
        <f t="shared" si="0"/>
        <v>27</v>
      </c>
      <c r="V9" s="28">
        <f t="shared" si="1"/>
        <v>1</v>
      </c>
    </row>
    <row r="10" spans="1:22">
      <c r="A10" s="28">
        <v>10000067</v>
      </c>
      <c r="B10" s="34" t="s">
        <v>34</v>
      </c>
      <c r="C10" s="34" t="s">
        <v>35</v>
      </c>
      <c r="D10" s="86">
        <v>179</v>
      </c>
      <c r="E10" s="86">
        <v>5</v>
      </c>
      <c r="F10" s="86">
        <v>7</v>
      </c>
      <c r="G10" s="86">
        <v>9.1</v>
      </c>
      <c r="H10" s="83" t="s">
        <v>15</v>
      </c>
      <c r="I10" s="87" t="s">
        <v>36</v>
      </c>
      <c r="J10" s="59" t="s">
        <v>12</v>
      </c>
      <c r="L10" s="19" t="s">
        <v>37</v>
      </c>
      <c r="M10" s="85">
        <f>COUNTBLANK(H289:H357)</f>
        <v>24</v>
      </c>
      <c r="N10" s="28">
        <f>COUNTA(H289:H357)</f>
        <v>45</v>
      </c>
      <c r="P10" s="28">
        <v>27</v>
      </c>
      <c r="Q10" s="28">
        <v>5</v>
      </c>
      <c r="R10" s="28">
        <v>11</v>
      </c>
      <c r="T10" s="28">
        <f t="shared" si="0"/>
        <v>43</v>
      </c>
      <c r="V10" s="28">
        <f t="shared" si="1"/>
        <v>2</v>
      </c>
    </row>
    <row r="11" spans="1:22">
      <c r="A11" s="28">
        <v>10000070</v>
      </c>
      <c r="B11" s="34" t="s">
        <v>38</v>
      </c>
      <c r="C11" s="34" t="s">
        <v>32</v>
      </c>
      <c r="D11" s="86">
        <v>160</v>
      </c>
      <c r="E11" s="86">
        <v>4</v>
      </c>
      <c r="F11" s="86">
        <v>7</v>
      </c>
      <c r="G11" s="86">
        <v>9.8</v>
      </c>
      <c r="H11" s="79" t="s">
        <v>15</v>
      </c>
      <c r="I11" s="28" t="s">
        <v>24</v>
      </c>
      <c r="J11" s="59" t="s">
        <v>12</v>
      </c>
      <c r="L11" s="8" t="s">
        <v>39</v>
      </c>
      <c r="M11" s="85">
        <f>COUNTBLANK(H359:H416)</f>
        <v>18</v>
      </c>
      <c r="N11" s="28">
        <f>COUNTA(H359:H416)</f>
        <v>40</v>
      </c>
      <c r="P11" s="28">
        <v>25</v>
      </c>
      <c r="Q11" s="28">
        <v>3</v>
      </c>
      <c r="R11" s="28">
        <v>9</v>
      </c>
      <c r="T11" s="28">
        <f t="shared" si="0"/>
        <v>37</v>
      </c>
      <c r="V11" s="28">
        <f t="shared" si="1"/>
        <v>3</v>
      </c>
    </row>
    <row r="12" spans="1:22">
      <c r="A12" s="28">
        <v>10000069</v>
      </c>
      <c r="B12" s="34" t="s">
        <v>40</v>
      </c>
      <c r="C12" s="34" t="s">
        <v>41</v>
      </c>
      <c r="D12" s="86">
        <v>188</v>
      </c>
      <c r="E12" s="86">
        <v>3</v>
      </c>
      <c r="F12" s="86">
        <v>7</v>
      </c>
      <c r="G12" s="86">
        <v>9.7</v>
      </c>
      <c r="H12" s="83" t="s">
        <v>15</v>
      </c>
      <c r="I12" s="28" t="s">
        <v>20</v>
      </c>
      <c r="J12" s="59" t="s">
        <v>12</v>
      </c>
      <c r="L12" s="14" t="s">
        <v>42</v>
      </c>
      <c r="M12" s="85">
        <f>COUNTBLANK(H418:H556)</f>
        <v>58</v>
      </c>
      <c r="N12" s="28">
        <f>COUNTIF(H418:H556,"√")</f>
        <v>70</v>
      </c>
      <c r="P12" s="28">
        <v>52</v>
      </c>
      <c r="Q12" s="28">
        <v>3</v>
      </c>
      <c r="R12" s="28">
        <v>14</v>
      </c>
      <c r="T12" s="28">
        <f t="shared" si="0"/>
        <v>69</v>
      </c>
      <c r="V12" s="28">
        <f t="shared" si="1"/>
        <v>1</v>
      </c>
    </row>
    <row r="13" spans="1:22">
      <c r="A13" s="28">
        <v>10000064</v>
      </c>
      <c r="B13" s="34" t="s">
        <v>43</v>
      </c>
      <c r="C13" s="34" t="s">
        <v>44</v>
      </c>
      <c r="D13" s="86">
        <v>130</v>
      </c>
      <c r="E13" s="86">
        <v>3</v>
      </c>
      <c r="F13" s="86">
        <v>4</v>
      </c>
      <c r="G13" s="86">
        <v>8</v>
      </c>
      <c r="H13" s="79" t="s">
        <v>15</v>
      </c>
      <c r="I13" s="28" t="s">
        <v>45</v>
      </c>
      <c r="J13" s="59" t="s">
        <v>12</v>
      </c>
      <c r="L13" s="13" t="s">
        <v>46</v>
      </c>
      <c r="M13" s="85">
        <f>COUNTBLANK(H558:H603)</f>
        <v>21</v>
      </c>
      <c r="N13" s="28">
        <f>COUNTIF(H558:H603,"√")</f>
        <v>24</v>
      </c>
      <c r="P13" s="28">
        <v>13</v>
      </c>
      <c r="Q13" s="28">
        <v>0</v>
      </c>
      <c r="R13" s="28">
        <v>11</v>
      </c>
      <c r="T13" s="28">
        <f t="shared" si="0"/>
        <v>24</v>
      </c>
      <c r="V13" s="28">
        <f t="shared" si="1"/>
        <v>0</v>
      </c>
    </row>
    <row r="14" spans="1:22">
      <c r="A14" s="28">
        <v>10000068</v>
      </c>
      <c r="B14" s="34" t="s">
        <v>47</v>
      </c>
      <c r="C14" s="34" t="s">
        <v>48</v>
      </c>
      <c r="D14" s="86">
        <v>163</v>
      </c>
      <c r="E14" s="86">
        <v>4</v>
      </c>
      <c r="F14" s="86">
        <v>6</v>
      </c>
      <c r="G14" s="86">
        <v>9.1</v>
      </c>
      <c r="H14" s="83" t="s">
        <v>15</v>
      </c>
      <c r="I14" s="87" t="s">
        <v>49</v>
      </c>
      <c r="J14" s="59" t="s">
        <v>12</v>
      </c>
      <c r="L14" s="89" t="s">
        <v>50</v>
      </c>
      <c r="M14" s="85">
        <f>COUNTBLANK(H605:H699)</f>
        <v>95</v>
      </c>
      <c r="N14" s="28">
        <f>COUNTA(H605:H699)</f>
        <v>0</v>
      </c>
    </row>
    <row r="15" spans="1:22">
      <c r="A15" s="83" t="s">
        <v>17</v>
      </c>
      <c r="B15" s="83"/>
      <c r="C15" s="83"/>
      <c r="D15" s="83"/>
      <c r="E15" s="83"/>
      <c r="F15" s="83"/>
      <c r="G15" s="83"/>
      <c r="H15" s="83"/>
      <c r="I15" s="83"/>
      <c r="J15" s="83"/>
      <c r="L15" s="4" t="s">
        <v>51</v>
      </c>
      <c r="N15" s="28">
        <v>89</v>
      </c>
    </row>
    <row r="16" spans="1:22">
      <c r="A16" s="28">
        <v>20000120</v>
      </c>
      <c r="B16" s="34" t="s">
        <v>52</v>
      </c>
      <c r="C16" s="34" t="s">
        <v>53</v>
      </c>
      <c r="D16" s="86">
        <v>180</v>
      </c>
      <c r="E16" s="86">
        <v>5</v>
      </c>
      <c r="F16" s="86">
        <v>9.7</v>
      </c>
      <c r="G16" s="86">
        <v>10.7</v>
      </c>
      <c r="H16" s="83" t="s">
        <v>15</v>
      </c>
      <c r="I16" s="28" t="s">
        <v>20</v>
      </c>
      <c r="J16" s="58" t="s">
        <v>17</v>
      </c>
      <c r="L16" s="28" t="s">
        <v>54</v>
      </c>
      <c r="M16" s="28">
        <f>SUM(M3:M13)</f>
        <v>146</v>
      </c>
      <c r="N16" s="28">
        <f>SUM(N3:N15)</f>
        <v>521</v>
      </c>
      <c r="T16" s="28">
        <f>SUM(T3:T13)+N15</f>
        <v>509</v>
      </c>
    </row>
    <row r="17" spans="1:13">
      <c r="A17" s="28">
        <v>20000125</v>
      </c>
      <c r="B17" s="34" t="s">
        <v>55</v>
      </c>
      <c r="C17" s="34" t="s">
        <v>23</v>
      </c>
      <c r="D17" s="86">
        <v>185</v>
      </c>
      <c r="E17" s="86">
        <v>5</v>
      </c>
      <c r="F17" s="86">
        <v>7</v>
      </c>
      <c r="G17" s="86">
        <v>10.1</v>
      </c>
      <c r="H17" s="83" t="s">
        <v>15</v>
      </c>
      <c r="I17" s="87" t="s">
        <v>36</v>
      </c>
      <c r="J17" s="58" t="s">
        <v>17</v>
      </c>
    </row>
    <row r="18" spans="1:13">
      <c r="A18" s="28">
        <v>20000039</v>
      </c>
      <c r="B18" s="34" t="s">
        <v>56</v>
      </c>
      <c r="C18" s="34">
        <v>96</v>
      </c>
      <c r="D18" s="86">
        <v>188</v>
      </c>
      <c r="E18" s="86">
        <v>6</v>
      </c>
      <c r="F18" s="86">
        <v>7</v>
      </c>
      <c r="G18" s="86">
        <v>9.5</v>
      </c>
      <c r="H18" s="83" t="s">
        <v>15</v>
      </c>
      <c r="I18" s="87" t="s">
        <v>57</v>
      </c>
      <c r="J18" s="58" t="s">
        <v>17</v>
      </c>
      <c r="L18" s="28" t="s">
        <v>58</v>
      </c>
      <c r="M18" s="28">
        <f>ROUND((M16-5)/6,2)</f>
        <v>23.5</v>
      </c>
    </row>
    <row r="19" spans="1:13">
      <c r="A19" s="28">
        <v>20000043</v>
      </c>
      <c r="B19" s="34" t="s">
        <v>59</v>
      </c>
      <c r="C19" s="90" t="s">
        <v>60</v>
      </c>
      <c r="D19" s="86">
        <v>175</v>
      </c>
      <c r="E19" s="86">
        <v>5</v>
      </c>
      <c r="F19" s="86">
        <v>7</v>
      </c>
      <c r="G19" s="86">
        <v>9.7</v>
      </c>
      <c r="H19" s="83" t="s">
        <v>15</v>
      </c>
      <c r="I19" s="87" t="s">
        <v>57</v>
      </c>
      <c r="J19" s="58" t="s">
        <v>17</v>
      </c>
      <c r="L19" s="28" t="s">
        <v>61</v>
      </c>
      <c r="M19" s="28">
        <f>61+N13-12+N15</f>
        <v>162</v>
      </c>
    </row>
    <row r="20" spans="1:13">
      <c r="A20" s="28">
        <v>20000040</v>
      </c>
      <c r="B20" s="34" t="s">
        <v>62</v>
      </c>
      <c r="C20" s="34" t="s">
        <v>63</v>
      </c>
      <c r="D20" s="86">
        <v>300</v>
      </c>
      <c r="E20" s="86">
        <v>3</v>
      </c>
      <c r="F20" s="86">
        <v>7</v>
      </c>
      <c r="G20" s="86">
        <v>8</v>
      </c>
      <c r="H20" s="79" t="s">
        <v>15</v>
      </c>
      <c r="I20" s="28" t="s">
        <v>24</v>
      </c>
      <c r="J20" s="58" t="s">
        <v>17</v>
      </c>
    </row>
    <row r="21" spans="1:13">
      <c r="A21" s="28">
        <v>20000045</v>
      </c>
      <c r="B21" s="34" t="s">
        <v>64</v>
      </c>
      <c r="C21" s="34" t="s">
        <v>65</v>
      </c>
      <c r="D21" s="86">
        <v>154</v>
      </c>
      <c r="E21" s="86">
        <v>4</v>
      </c>
      <c r="F21" s="86">
        <v>7</v>
      </c>
      <c r="G21" s="86">
        <v>8</v>
      </c>
      <c r="H21" s="79" t="s">
        <v>15</v>
      </c>
      <c r="I21" s="28" t="s">
        <v>66</v>
      </c>
      <c r="J21" s="58" t="s">
        <v>17</v>
      </c>
    </row>
    <row r="22" spans="1:13">
      <c r="A22" s="28">
        <v>20000122</v>
      </c>
      <c r="B22" s="34" t="s">
        <v>67</v>
      </c>
      <c r="C22" s="34" t="s">
        <v>68</v>
      </c>
      <c r="D22" s="86">
        <v>172</v>
      </c>
      <c r="E22" s="86">
        <v>3</v>
      </c>
      <c r="F22" s="86">
        <v>7</v>
      </c>
      <c r="G22" s="86">
        <v>8</v>
      </c>
      <c r="H22" s="79" t="s">
        <v>15</v>
      </c>
      <c r="I22" s="28" t="s">
        <v>24</v>
      </c>
      <c r="J22" s="58" t="s">
        <v>17</v>
      </c>
    </row>
    <row r="23" spans="1:13">
      <c r="A23" s="28">
        <v>20000051</v>
      </c>
      <c r="B23" s="34" t="s">
        <v>69</v>
      </c>
      <c r="C23" s="34" t="s">
        <v>70</v>
      </c>
      <c r="D23" s="86">
        <v>148</v>
      </c>
      <c r="E23" s="86">
        <v>7</v>
      </c>
      <c r="F23" s="86">
        <v>8</v>
      </c>
      <c r="G23" s="86">
        <v>10.3</v>
      </c>
      <c r="H23" s="83" t="s">
        <v>15</v>
      </c>
      <c r="I23" s="87" t="s">
        <v>16</v>
      </c>
      <c r="J23" s="58" t="s">
        <v>17</v>
      </c>
    </row>
    <row r="24" spans="1:13">
      <c r="A24" s="28">
        <v>20000042</v>
      </c>
      <c r="B24" s="34" t="s">
        <v>71</v>
      </c>
      <c r="C24" s="34" t="s">
        <v>72</v>
      </c>
      <c r="D24" s="86">
        <v>157</v>
      </c>
      <c r="E24" s="86">
        <v>4</v>
      </c>
      <c r="F24" s="86">
        <v>6</v>
      </c>
      <c r="G24" s="86">
        <v>7</v>
      </c>
      <c r="H24" s="83" t="s">
        <v>15</v>
      </c>
      <c r="I24" s="28" t="s">
        <v>20</v>
      </c>
      <c r="J24" s="58" t="s">
        <v>17</v>
      </c>
    </row>
    <row r="25" spans="1:13">
      <c r="A25" s="28">
        <v>20000044</v>
      </c>
      <c r="B25" s="34" t="s">
        <v>73</v>
      </c>
      <c r="C25" s="90" t="s">
        <v>74</v>
      </c>
      <c r="D25" s="86">
        <v>140</v>
      </c>
      <c r="E25" s="86">
        <v>4</v>
      </c>
      <c r="F25" s="86">
        <v>6</v>
      </c>
      <c r="G25" s="86">
        <v>7</v>
      </c>
      <c r="H25" s="79" t="s">
        <v>15</v>
      </c>
      <c r="I25" s="28" t="s">
        <v>24</v>
      </c>
      <c r="J25" s="58" t="s">
        <v>17</v>
      </c>
    </row>
    <row r="26" spans="1:13">
      <c r="A26" s="28">
        <v>20000041</v>
      </c>
      <c r="B26" s="34" t="s">
        <v>75</v>
      </c>
      <c r="C26" s="34" t="s">
        <v>76</v>
      </c>
      <c r="D26" s="86">
        <v>183</v>
      </c>
      <c r="E26" s="86">
        <v>4</v>
      </c>
      <c r="F26" s="86">
        <v>6</v>
      </c>
      <c r="G26" s="86">
        <v>8</v>
      </c>
      <c r="H26" s="79" t="s">
        <v>15</v>
      </c>
      <c r="I26" s="28" t="s">
        <v>24</v>
      </c>
      <c r="J26" s="58" t="s">
        <v>17</v>
      </c>
    </row>
    <row r="27" spans="1:13">
      <c r="A27" s="28">
        <v>20000046</v>
      </c>
      <c r="B27" s="34" t="s">
        <v>77</v>
      </c>
      <c r="C27" s="34" t="s">
        <v>78</v>
      </c>
      <c r="D27" s="86">
        <v>150</v>
      </c>
      <c r="E27" s="86">
        <v>4</v>
      </c>
      <c r="F27" s="86">
        <v>5</v>
      </c>
      <c r="G27" s="86">
        <v>9.7</v>
      </c>
      <c r="H27" s="79" t="s">
        <v>15</v>
      </c>
      <c r="I27" s="28" t="s">
        <v>24</v>
      </c>
      <c r="J27" s="58" t="s">
        <v>17</v>
      </c>
    </row>
    <row r="28" spans="1:13">
      <c r="A28" s="28">
        <v>20000124</v>
      </c>
      <c r="B28" s="34" t="s">
        <v>79</v>
      </c>
      <c r="C28" s="34" t="s">
        <v>80</v>
      </c>
      <c r="D28" s="86">
        <v>162</v>
      </c>
      <c r="E28" s="86">
        <v>3</v>
      </c>
      <c r="F28" s="86">
        <v>6</v>
      </c>
      <c r="G28" s="86">
        <v>8</v>
      </c>
      <c r="H28" s="83" t="s">
        <v>15</v>
      </c>
      <c r="I28" s="28" t="s">
        <v>20</v>
      </c>
      <c r="J28" s="58" t="s">
        <v>17</v>
      </c>
    </row>
    <row r="29" spans="1:13">
      <c r="A29" s="28">
        <v>20000123</v>
      </c>
      <c r="B29" s="34" t="s">
        <v>81</v>
      </c>
      <c r="C29" s="34" t="s">
        <v>82</v>
      </c>
      <c r="D29" s="86">
        <v>210</v>
      </c>
      <c r="E29" s="86">
        <v>4</v>
      </c>
      <c r="F29" s="86">
        <v>7</v>
      </c>
      <c r="G29" s="86">
        <v>9.5</v>
      </c>
      <c r="H29" s="79" t="s">
        <v>15</v>
      </c>
      <c r="I29" s="28" t="s">
        <v>24</v>
      </c>
      <c r="J29" s="58" t="s">
        <v>17</v>
      </c>
    </row>
    <row r="30" spans="1:13">
      <c r="A30" s="28">
        <v>20000038</v>
      </c>
      <c r="B30" s="34" t="s">
        <v>83</v>
      </c>
      <c r="C30" s="34" t="s">
        <v>84</v>
      </c>
      <c r="D30" s="86">
        <v>180</v>
      </c>
      <c r="E30" s="86">
        <v>4</v>
      </c>
      <c r="F30" s="86">
        <v>7</v>
      </c>
      <c r="G30" s="86">
        <v>9.8</v>
      </c>
      <c r="H30" s="79" t="s">
        <v>15</v>
      </c>
      <c r="I30" s="28" t="s">
        <v>24</v>
      </c>
      <c r="J30" s="58" t="s">
        <v>17</v>
      </c>
    </row>
    <row r="31" spans="1:13">
      <c r="A31" s="83" t="s">
        <v>21</v>
      </c>
      <c r="B31" s="83"/>
      <c r="C31" s="83"/>
      <c r="D31" s="83"/>
      <c r="E31" s="83"/>
      <c r="F31" s="83"/>
      <c r="G31" s="83"/>
      <c r="H31" s="83"/>
      <c r="I31" s="83"/>
      <c r="J31" s="83"/>
    </row>
    <row r="32" spans="1:13">
      <c r="A32" s="1">
        <v>30000040</v>
      </c>
      <c r="B32" s="34" t="s">
        <v>85</v>
      </c>
      <c r="C32" s="34" t="s">
        <v>86</v>
      </c>
      <c r="D32" s="86">
        <v>160</v>
      </c>
      <c r="E32" s="86">
        <v>4</v>
      </c>
      <c r="F32" s="86">
        <v>7</v>
      </c>
      <c r="G32" s="86">
        <v>8</v>
      </c>
      <c r="H32" s="87" t="s">
        <v>15</v>
      </c>
      <c r="I32" s="87" t="s">
        <v>16</v>
      </c>
      <c r="J32" s="88" t="s">
        <v>21</v>
      </c>
    </row>
    <row r="33" spans="1:10">
      <c r="A33" s="1">
        <v>30000127</v>
      </c>
      <c r="B33" s="34" t="s">
        <v>87</v>
      </c>
      <c r="C33" s="34" t="s">
        <v>88</v>
      </c>
      <c r="D33" s="86">
        <v>190</v>
      </c>
      <c r="E33" s="86">
        <v>6</v>
      </c>
      <c r="F33" s="86">
        <v>9.6</v>
      </c>
      <c r="G33" s="86">
        <v>10.5</v>
      </c>
      <c r="H33" s="87" t="s">
        <v>15</v>
      </c>
      <c r="I33" s="87" t="s">
        <v>36</v>
      </c>
      <c r="J33" s="88" t="s">
        <v>21</v>
      </c>
    </row>
    <row r="34" spans="1:10">
      <c r="A34" s="1">
        <v>30000045</v>
      </c>
      <c r="B34" s="34" t="s">
        <v>89</v>
      </c>
      <c r="C34" s="34" t="s">
        <v>90</v>
      </c>
      <c r="D34" s="86">
        <v>180</v>
      </c>
      <c r="E34" s="86">
        <v>4</v>
      </c>
      <c r="F34" s="86">
        <v>7</v>
      </c>
      <c r="G34" s="86">
        <v>9.4</v>
      </c>
      <c r="H34" s="28" t="s">
        <v>15</v>
      </c>
      <c r="I34" s="28" t="s">
        <v>24</v>
      </c>
      <c r="J34" s="88" t="s">
        <v>21</v>
      </c>
    </row>
    <row r="35" spans="1:10">
      <c r="A35" s="1">
        <v>30000121</v>
      </c>
      <c r="B35" s="34" t="s">
        <v>91</v>
      </c>
      <c r="C35" s="34" t="s">
        <v>23</v>
      </c>
      <c r="D35" s="86">
        <v>173</v>
      </c>
      <c r="E35" s="86">
        <v>6</v>
      </c>
      <c r="F35" s="86">
        <v>9.7</v>
      </c>
      <c r="G35" s="86">
        <v>10.5</v>
      </c>
      <c r="H35" s="87" t="s">
        <v>15</v>
      </c>
      <c r="I35" s="87" t="s">
        <v>57</v>
      </c>
      <c r="J35" s="88" t="s">
        <v>21</v>
      </c>
    </row>
    <row r="36" spans="1:10">
      <c r="A36" s="1">
        <v>30000048</v>
      </c>
      <c r="B36" s="34" t="s">
        <v>92</v>
      </c>
      <c r="C36" s="34" t="s">
        <v>14</v>
      </c>
      <c r="D36" s="86">
        <v>181</v>
      </c>
      <c r="E36" s="86">
        <v>4</v>
      </c>
      <c r="F36" s="86">
        <v>8</v>
      </c>
      <c r="G36" s="86">
        <v>10.2</v>
      </c>
      <c r="H36" s="87" t="s">
        <v>15</v>
      </c>
      <c r="I36" s="87" t="s">
        <v>57</v>
      </c>
      <c r="J36" s="88" t="s">
        <v>21</v>
      </c>
    </row>
    <row r="37" spans="1:10">
      <c r="A37" s="1">
        <v>30000123</v>
      </c>
      <c r="B37" s="34" t="s">
        <v>93</v>
      </c>
      <c r="C37" s="34" t="s">
        <v>32</v>
      </c>
      <c r="D37" s="86">
        <v>250</v>
      </c>
      <c r="E37" s="86">
        <v>5</v>
      </c>
      <c r="F37" s="86">
        <v>6</v>
      </c>
      <c r="G37" s="86">
        <v>9.7</v>
      </c>
      <c r="H37" s="28" t="s">
        <v>15</v>
      </c>
      <c r="I37" s="28" t="s">
        <v>24</v>
      </c>
      <c r="J37" s="88" t="s">
        <v>21</v>
      </c>
    </row>
    <row r="38" spans="1:10">
      <c r="A38" s="1">
        <v>30000043</v>
      </c>
      <c r="B38" s="34" t="s">
        <v>94</v>
      </c>
      <c r="C38" s="34" t="s">
        <v>84</v>
      </c>
      <c r="D38" s="86">
        <v>150</v>
      </c>
      <c r="E38" s="86">
        <v>3</v>
      </c>
      <c r="F38" s="86">
        <v>7</v>
      </c>
      <c r="G38" s="86">
        <v>8</v>
      </c>
      <c r="H38" s="28" t="s">
        <v>15</v>
      </c>
      <c r="I38" s="28" t="s">
        <v>95</v>
      </c>
      <c r="J38" s="88" t="s">
        <v>21</v>
      </c>
    </row>
    <row r="39" spans="1:10">
      <c r="A39" s="1">
        <v>30000041</v>
      </c>
      <c r="B39" s="34" t="s">
        <v>96</v>
      </c>
      <c r="C39" s="34" t="s">
        <v>97</v>
      </c>
      <c r="D39" s="86">
        <v>184</v>
      </c>
      <c r="E39" s="86">
        <v>3</v>
      </c>
      <c r="F39" s="86">
        <v>7</v>
      </c>
      <c r="G39" s="86">
        <v>8</v>
      </c>
      <c r="H39" s="28" t="s">
        <v>15</v>
      </c>
      <c r="I39" s="28" t="s">
        <v>45</v>
      </c>
      <c r="J39" s="88" t="s">
        <v>21</v>
      </c>
    </row>
    <row r="40" spans="1:10">
      <c r="A40" s="1">
        <v>30000046</v>
      </c>
      <c r="B40" s="34" t="s">
        <v>98</v>
      </c>
      <c r="C40" s="34" t="s">
        <v>99</v>
      </c>
      <c r="D40" s="86">
        <v>154</v>
      </c>
      <c r="E40" s="86">
        <v>3</v>
      </c>
      <c r="F40" s="86">
        <v>7</v>
      </c>
      <c r="G40" s="86">
        <v>8</v>
      </c>
      <c r="H40" s="87" t="s">
        <v>15</v>
      </c>
      <c r="I40" s="87" t="s">
        <v>36</v>
      </c>
      <c r="J40" s="88" t="s">
        <v>21</v>
      </c>
    </row>
    <row r="41" spans="1:10">
      <c r="A41" s="1">
        <v>30000049</v>
      </c>
      <c r="B41" s="34" t="s">
        <v>100</v>
      </c>
      <c r="C41" s="34" t="s">
        <v>35</v>
      </c>
      <c r="D41" s="86">
        <v>170</v>
      </c>
      <c r="E41" s="86">
        <v>4</v>
      </c>
      <c r="F41" s="86">
        <v>7</v>
      </c>
      <c r="G41" s="86">
        <v>8</v>
      </c>
      <c r="H41" s="87" t="s">
        <v>15</v>
      </c>
      <c r="I41" s="87" t="s">
        <v>36</v>
      </c>
      <c r="J41" s="88" t="s">
        <v>21</v>
      </c>
    </row>
    <row r="42" spans="1:10">
      <c r="A42" s="1">
        <v>30000039</v>
      </c>
      <c r="B42" s="34" t="s">
        <v>101</v>
      </c>
      <c r="C42" s="34">
        <v>96</v>
      </c>
      <c r="D42" s="86">
        <v>158</v>
      </c>
      <c r="E42" s="86">
        <v>5</v>
      </c>
      <c r="F42" s="86">
        <v>8</v>
      </c>
      <c r="G42" s="86">
        <v>9.8</v>
      </c>
      <c r="J42" s="88" t="s">
        <v>21</v>
      </c>
    </row>
    <row r="43" spans="1:10">
      <c r="A43" s="1">
        <v>30000125</v>
      </c>
      <c r="B43" s="34" t="s">
        <v>102</v>
      </c>
      <c r="C43" s="34" t="s">
        <v>103</v>
      </c>
      <c r="D43" s="86">
        <v>162</v>
      </c>
      <c r="E43" s="86">
        <v>6</v>
      </c>
      <c r="F43" s="86">
        <v>9.8</v>
      </c>
      <c r="G43" s="86">
        <v>10.4</v>
      </c>
      <c r="H43" s="28" t="s">
        <v>15</v>
      </c>
      <c r="I43" s="28" t="s">
        <v>24</v>
      </c>
      <c r="J43" s="88" t="s">
        <v>21</v>
      </c>
    </row>
    <row r="44" spans="1:10">
      <c r="A44" s="1">
        <v>30000122</v>
      </c>
      <c r="B44" s="34" t="s">
        <v>104</v>
      </c>
      <c r="C44" s="34" t="s">
        <v>105</v>
      </c>
      <c r="D44" s="86">
        <v>160</v>
      </c>
      <c r="E44" s="86">
        <v>4</v>
      </c>
      <c r="F44" s="86">
        <v>8</v>
      </c>
      <c r="G44" s="86">
        <v>9.3</v>
      </c>
      <c r="H44" s="87" t="s">
        <v>15</v>
      </c>
      <c r="I44" s="87" t="s">
        <v>36</v>
      </c>
      <c r="J44" s="88" t="s">
        <v>21</v>
      </c>
    </row>
    <row r="45" spans="1:10">
      <c r="A45" s="1">
        <v>30000126</v>
      </c>
      <c r="B45" s="34" t="s">
        <v>106</v>
      </c>
      <c r="C45" s="34" t="s">
        <v>72</v>
      </c>
      <c r="D45" s="86">
        <v>158</v>
      </c>
      <c r="E45" s="86">
        <v>4</v>
      </c>
      <c r="F45" s="86">
        <v>7</v>
      </c>
      <c r="G45" s="86">
        <v>9.7</v>
      </c>
      <c r="H45" s="87" t="s">
        <v>15</v>
      </c>
      <c r="I45" s="28" t="s">
        <v>20</v>
      </c>
      <c r="J45" s="88" t="s">
        <v>21</v>
      </c>
    </row>
    <row r="46" spans="1:10">
      <c r="A46" s="1">
        <v>30000124</v>
      </c>
      <c r="B46" s="34" t="s">
        <v>107</v>
      </c>
      <c r="C46" s="90" t="s">
        <v>108</v>
      </c>
      <c r="D46" s="86">
        <v>178</v>
      </c>
      <c r="E46" s="86">
        <v>5</v>
      </c>
      <c r="F46" s="86">
        <v>7</v>
      </c>
      <c r="G46" s="86">
        <v>9.5</v>
      </c>
      <c r="H46" s="28" t="s">
        <v>15</v>
      </c>
      <c r="I46" s="28" t="s">
        <v>24</v>
      </c>
      <c r="J46" s="88" t="s">
        <v>21</v>
      </c>
    </row>
    <row r="47" spans="1:10">
      <c r="A47" s="1">
        <v>30000044</v>
      </c>
      <c r="B47" s="34" t="s">
        <v>109</v>
      </c>
      <c r="C47" s="34" t="s">
        <v>110</v>
      </c>
      <c r="D47" s="86">
        <v>133</v>
      </c>
      <c r="E47" s="86">
        <v>3</v>
      </c>
      <c r="F47" s="86">
        <v>7</v>
      </c>
      <c r="G47" s="86">
        <v>8</v>
      </c>
      <c r="H47" s="87" t="s">
        <v>15</v>
      </c>
      <c r="I47" s="87" t="s">
        <v>36</v>
      </c>
      <c r="J47" s="88" t="s">
        <v>21</v>
      </c>
    </row>
    <row r="48" spans="1:10">
      <c r="A48" s="83" t="s">
        <v>25</v>
      </c>
      <c r="B48" s="83"/>
      <c r="C48" s="83"/>
      <c r="D48" s="83"/>
      <c r="E48" s="83"/>
      <c r="F48" s="83"/>
      <c r="G48" s="83"/>
      <c r="H48" s="83"/>
      <c r="I48" s="83"/>
      <c r="J48" s="83"/>
    </row>
    <row r="49" spans="1:10">
      <c r="A49" s="1">
        <v>40000055</v>
      </c>
      <c r="B49" s="34" t="s">
        <v>111</v>
      </c>
      <c r="C49" s="34" t="s">
        <v>112</v>
      </c>
      <c r="D49" s="86">
        <v>152</v>
      </c>
      <c r="E49" s="86">
        <v>6</v>
      </c>
      <c r="F49" s="86">
        <v>8</v>
      </c>
      <c r="G49" s="86">
        <v>9.6</v>
      </c>
      <c r="H49" s="87" t="s">
        <v>15</v>
      </c>
      <c r="I49" s="28" t="s">
        <v>20</v>
      </c>
      <c r="J49" s="60" t="s">
        <v>25</v>
      </c>
    </row>
    <row r="50" spans="1:10">
      <c r="A50" s="1">
        <v>40000125</v>
      </c>
      <c r="B50" s="34" t="s">
        <v>113</v>
      </c>
      <c r="C50" s="34" t="s">
        <v>14</v>
      </c>
      <c r="D50" s="86">
        <v>177</v>
      </c>
      <c r="E50" s="86">
        <v>7</v>
      </c>
      <c r="F50" s="86">
        <v>8</v>
      </c>
      <c r="G50" s="86">
        <v>10.2</v>
      </c>
      <c r="H50" s="87" t="s">
        <v>15</v>
      </c>
      <c r="I50" s="87" t="s">
        <v>36</v>
      </c>
      <c r="J50" s="60" t="s">
        <v>25</v>
      </c>
    </row>
    <row r="51" spans="1:10">
      <c r="A51" s="1">
        <v>40000156</v>
      </c>
      <c r="B51" s="34" t="s">
        <v>114</v>
      </c>
      <c r="C51" s="90" t="s">
        <v>115</v>
      </c>
      <c r="D51" s="86">
        <v>180</v>
      </c>
      <c r="E51" s="86">
        <v>5</v>
      </c>
      <c r="F51" s="86">
        <v>8</v>
      </c>
      <c r="G51" s="86">
        <v>9.1</v>
      </c>
      <c r="H51" s="87" t="s">
        <v>15</v>
      </c>
      <c r="I51" s="87" t="s">
        <v>36</v>
      </c>
      <c r="J51" s="60" t="s">
        <v>25</v>
      </c>
    </row>
    <row r="52" spans="1:10">
      <c r="A52" s="1">
        <v>40000121</v>
      </c>
      <c r="B52" s="34" t="s">
        <v>116</v>
      </c>
      <c r="C52" s="34" t="s">
        <v>117</v>
      </c>
      <c r="D52" s="86">
        <v>182</v>
      </c>
      <c r="E52" s="86">
        <v>3</v>
      </c>
      <c r="F52" s="86">
        <v>6</v>
      </c>
      <c r="G52" s="86">
        <v>7</v>
      </c>
      <c r="H52" s="28" t="s">
        <v>15</v>
      </c>
      <c r="I52" s="28" t="s">
        <v>24</v>
      </c>
      <c r="J52" s="60" t="s">
        <v>25</v>
      </c>
    </row>
    <row r="53" spans="1:10">
      <c r="A53" s="28">
        <v>40000050</v>
      </c>
      <c r="B53" s="34" t="s">
        <v>118</v>
      </c>
      <c r="C53" s="34">
        <v>96</v>
      </c>
      <c r="D53" s="86">
        <v>166</v>
      </c>
      <c r="E53" s="86">
        <v>4</v>
      </c>
      <c r="F53" s="86">
        <v>7</v>
      </c>
      <c r="G53" s="86">
        <v>10.1</v>
      </c>
      <c r="J53" s="60" t="s">
        <v>25</v>
      </c>
    </row>
    <row r="54" spans="1:10">
      <c r="A54" s="1">
        <v>40000152</v>
      </c>
      <c r="B54" s="34" t="s">
        <v>119</v>
      </c>
      <c r="C54" s="90" t="s">
        <v>119</v>
      </c>
      <c r="D54" s="86">
        <v>265</v>
      </c>
      <c r="E54" s="86">
        <v>5</v>
      </c>
      <c r="F54" s="86">
        <v>6</v>
      </c>
      <c r="G54" s="86">
        <v>10.5</v>
      </c>
      <c r="H54" s="28" t="s">
        <v>15</v>
      </c>
      <c r="I54" s="28" t="s">
        <v>24</v>
      </c>
      <c r="J54" s="60" t="s">
        <v>25</v>
      </c>
    </row>
    <row r="55" spans="1:10">
      <c r="A55" s="1">
        <v>40000052</v>
      </c>
      <c r="B55" s="34" t="s">
        <v>120</v>
      </c>
      <c r="C55" s="34" t="s">
        <v>121</v>
      </c>
      <c r="D55" s="86">
        <v>208</v>
      </c>
      <c r="E55" s="86">
        <v>4</v>
      </c>
      <c r="F55" s="86">
        <v>7</v>
      </c>
      <c r="G55" s="86">
        <v>8</v>
      </c>
      <c r="H55" s="87" t="s">
        <v>15</v>
      </c>
      <c r="I55" s="87" t="s">
        <v>36</v>
      </c>
      <c r="J55" s="60" t="s">
        <v>25</v>
      </c>
    </row>
    <row r="56" spans="1:10">
      <c r="A56" s="1">
        <v>40000124</v>
      </c>
      <c r="B56" s="34" t="s">
        <v>122</v>
      </c>
      <c r="C56" s="34" t="s">
        <v>123</v>
      </c>
      <c r="D56" s="86">
        <v>180</v>
      </c>
      <c r="E56" s="86">
        <v>5</v>
      </c>
      <c r="F56" s="86">
        <v>8</v>
      </c>
      <c r="G56" s="86">
        <v>9.2</v>
      </c>
      <c r="H56" s="28" t="s">
        <v>15</v>
      </c>
      <c r="I56" s="28" t="s">
        <v>124</v>
      </c>
      <c r="J56" s="60" t="s">
        <v>25</v>
      </c>
    </row>
    <row r="57" spans="1:10">
      <c r="A57" s="1">
        <v>40000060</v>
      </c>
      <c r="B57" s="34" t="s">
        <v>125</v>
      </c>
      <c r="C57" s="34" t="s">
        <v>126</v>
      </c>
      <c r="D57" s="86">
        <v>185</v>
      </c>
      <c r="E57" s="86">
        <v>4</v>
      </c>
      <c r="F57" s="86">
        <v>8</v>
      </c>
      <c r="G57" s="86">
        <v>10.4</v>
      </c>
      <c r="H57" s="87" t="s">
        <v>15</v>
      </c>
      <c r="I57" s="87" t="s">
        <v>36</v>
      </c>
      <c r="J57" s="60" t="s">
        <v>25</v>
      </c>
    </row>
    <row r="58" spans="1:10">
      <c r="A58" s="1">
        <v>40000127</v>
      </c>
      <c r="B58" s="34" t="s">
        <v>127</v>
      </c>
      <c r="C58" s="34" t="s">
        <v>23</v>
      </c>
      <c r="D58" s="86" t="s">
        <v>128</v>
      </c>
      <c r="E58" s="86">
        <v>7</v>
      </c>
      <c r="F58" s="86">
        <v>9.2</v>
      </c>
      <c r="G58" s="86">
        <v>10.6</v>
      </c>
      <c r="H58" s="87" t="s">
        <v>15</v>
      </c>
      <c r="I58" s="87" t="s">
        <v>49</v>
      </c>
      <c r="J58" s="60" t="s">
        <v>25</v>
      </c>
    </row>
    <row r="59" spans="1:10">
      <c r="A59" s="1">
        <v>40000158</v>
      </c>
      <c r="B59" s="34" t="s">
        <v>129</v>
      </c>
      <c r="C59" s="34" t="s">
        <v>44</v>
      </c>
      <c r="D59" s="86">
        <v>256</v>
      </c>
      <c r="E59" s="86">
        <v>4</v>
      </c>
      <c r="F59" s="86">
        <v>6</v>
      </c>
      <c r="G59" s="86">
        <v>9.7</v>
      </c>
      <c r="H59" s="87" t="s">
        <v>15</v>
      </c>
      <c r="I59" s="87" t="s">
        <v>36</v>
      </c>
      <c r="J59" s="60" t="s">
        <v>25</v>
      </c>
    </row>
    <row r="60" spans="1:10">
      <c r="A60" s="1">
        <v>40000056</v>
      </c>
      <c r="B60" s="34" t="s">
        <v>130</v>
      </c>
      <c r="C60" s="34" t="s">
        <v>131</v>
      </c>
      <c r="D60" s="86">
        <v>174</v>
      </c>
      <c r="E60" s="86">
        <v>3</v>
      </c>
      <c r="F60" s="86">
        <v>5</v>
      </c>
      <c r="G60" s="86">
        <v>8</v>
      </c>
      <c r="H60" s="28" t="s">
        <v>15</v>
      </c>
      <c r="I60" s="28" t="s">
        <v>24</v>
      </c>
      <c r="J60" s="60" t="s">
        <v>25</v>
      </c>
    </row>
    <row r="61" spans="1:10">
      <c r="A61" s="1">
        <v>40000157</v>
      </c>
      <c r="B61" s="34" t="s">
        <v>132</v>
      </c>
      <c r="C61" s="34" t="s">
        <v>68</v>
      </c>
      <c r="D61" s="86">
        <v>182</v>
      </c>
      <c r="E61" s="86">
        <v>4</v>
      </c>
      <c r="F61" s="86">
        <v>7</v>
      </c>
      <c r="G61" s="86">
        <v>9</v>
      </c>
      <c r="H61" s="28" t="s">
        <v>15</v>
      </c>
      <c r="I61" s="28" t="s">
        <v>24</v>
      </c>
      <c r="J61" s="60" t="s">
        <v>25</v>
      </c>
    </row>
    <row r="62" spans="1:10">
      <c r="A62" s="1">
        <v>40000159</v>
      </c>
      <c r="B62" s="34" t="s">
        <v>133</v>
      </c>
      <c r="C62" s="34" t="s">
        <v>105</v>
      </c>
      <c r="D62" s="86">
        <v>150</v>
      </c>
      <c r="E62" s="86">
        <v>5</v>
      </c>
      <c r="F62" s="86">
        <v>8</v>
      </c>
      <c r="G62" s="86">
        <v>10.4</v>
      </c>
      <c r="H62" s="28" t="s">
        <v>15</v>
      </c>
      <c r="I62" s="28" t="s">
        <v>24</v>
      </c>
      <c r="J62" s="60" t="s">
        <v>25</v>
      </c>
    </row>
    <row r="63" spans="1:10">
      <c r="A63" s="1">
        <v>40000151</v>
      </c>
      <c r="B63" s="34" t="s">
        <v>134</v>
      </c>
      <c r="C63" s="90" t="s">
        <v>135</v>
      </c>
      <c r="D63" s="86">
        <v>210</v>
      </c>
      <c r="E63" s="86">
        <v>4</v>
      </c>
      <c r="F63" s="86">
        <v>7</v>
      </c>
      <c r="G63" s="86">
        <v>8</v>
      </c>
      <c r="H63" s="28" t="s">
        <v>15</v>
      </c>
      <c r="I63" s="28" t="s">
        <v>24</v>
      </c>
      <c r="J63" s="60" t="s">
        <v>25</v>
      </c>
    </row>
    <row r="64" spans="1:10">
      <c r="A64" s="1">
        <v>40000048</v>
      </c>
      <c r="B64" s="34" t="s">
        <v>136</v>
      </c>
      <c r="C64" s="34" t="s">
        <v>44</v>
      </c>
      <c r="D64" s="86">
        <v>131</v>
      </c>
      <c r="E64" s="86">
        <v>4</v>
      </c>
      <c r="F64" s="86">
        <v>6</v>
      </c>
      <c r="G64" s="86">
        <v>8</v>
      </c>
      <c r="H64" s="28" t="s">
        <v>15</v>
      </c>
      <c r="I64" s="28" t="s">
        <v>24</v>
      </c>
      <c r="J64" s="60" t="s">
        <v>25</v>
      </c>
    </row>
    <row r="65" spans="1:10">
      <c r="A65" s="1">
        <v>40000129</v>
      </c>
      <c r="B65" s="34" t="s">
        <v>137</v>
      </c>
      <c r="C65" s="34" t="s">
        <v>35</v>
      </c>
      <c r="D65" s="86">
        <v>170</v>
      </c>
      <c r="E65" s="86">
        <v>5</v>
      </c>
      <c r="F65" s="86">
        <v>8</v>
      </c>
      <c r="G65" s="86">
        <v>10.2</v>
      </c>
      <c r="H65" s="87" t="s">
        <v>15</v>
      </c>
      <c r="I65" s="87" t="s">
        <v>16</v>
      </c>
      <c r="J65" s="60" t="s">
        <v>25</v>
      </c>
    </row>
    <row r="66" spans="1:10">
      <c r="A66" s="1">
        <v>40000058</v>
      </c>
      <c r="B66" s="34" t="s">
        <v>138</v>
      </c>
      <c r="C66" s="34" t="s">
        <v>139</v>
      </c>
      <c r="D66" s="86">
        <v>160</v>
      </c>
      <c r="E66" s="86">
        <v>2</v>
      </c>
      <c r="F66" s="86">
        <v>5</v>
      </c>
      <c r="G66" s="86">
        <v>9.1</v>
      </c>
      <c r="H66" s="28" t="s">
        <v>15</v>
      </c>
      <c r="I66" s="28" t="s">
        <v>24</v>
      </c>
      <c r="J66" s="60" t="s">
        <v>25</v>
      </c>
    </row>
    <row r="67" spans="1:10">
      <c r="A67" s="1">
        <v>40000122</v>
      </c>
      <c r="B67" s="34" t="s">
        <v>140</v>
      </c>
      <c r="C67" s="34" t="s">
        <v>141</v>
      </c>
      <c r="D67" s="86">
        <v>185</v>
      </c>
      <c r="E67" s="86">
        <v>3</v>
      </c>
      <c r="F67" s="86">
        <v>7</v>
      </c>
      <c r="G67" s="86">
        <v>9.2</v>
      </c>
      <c r="H67" s="87" t="s">
        <v>15</v>
      </c>
      <c r="I67" s="87" t="s">
        <v>16</v>
      </c>
      <c r="J67" s="60" t="s">
        <v>25</v>
      </c>
    </row>
    <row r="68" spans="1:10">
      <c r="A68" s="1">
        <v>40000045</v>
      </c>
      <c r="B68" s="34" t="s">
        <v>142</v>
      </c>
      <c r="C68" s="34" t="s">
        <v>103</v>
      </c>
      <c r="D68" s="86">
        <v>165</v>
      </c>
      <c r="E68" s="86">
        <v>6</v>
      </c>
      <c r="F68" s="86">
        <v>8</v>
      </c>
      <c r="G68" s="86">
        <v>10.1</v>
      </c>
      <c r="H68" s="28" t="s">
        <v>15</v>
      </c>
      <c r="I68" s="28" t="s">
        <v>24</v>
      </c>
      <c r="J68" s="60" t="s">
        <v>25</v>
      </c>
    </row>
    <row r="69" spans="1:10">
      <c r="A69" s="1">
        <v>40000049</v>
      </c>
      <c r="B69" s="34" t="s">
        <v>143</v>
      </c>
      <c r="C69" s="34" t="s">
        <v>88</v>
      </c>
      <c r="D69" s="86">
        <v>187</v>
      </c>
      <c r="E69" s="86">
        <v>7</v>
      </c>
      <c r="F69" s="86">
        <v>10.4</v>
      </c>
      <c r="G69" s="86">
        <v>10.4</v>
      </c>
      <c r="H69" s="87" t="s">
        <v>15</v>
      </c>
      <c r="I69" s="87" t="s">
        <v>16</v>
      </c>
      <c r="J69" s="60" t="s">
        <v>25</v>
      </c>
    </row>
    <row r="70" spans="1:10">
      <c r="A70" s="1">
        <v>40000051</v>
      </c>
      <c r="B70" s="34" t="s">
        <v>144</v>
      </c>
      <c r="C70" s="34" t="s">
        <v>105</v>
      </c>
      <c r="D70" s="86">
        <v>144</v>
      </c>
      <c r="E70" s="86">
        <v>5</v>
      </c>
      <c r="F70" s="86">
        <v>6</v>
      </c>
      <c r="G70" s="86">
        <v>9.5</v>
      </c>
      <c r="H70" s="87" t="s">
        <v>15</v>
      </c>
      <c r="I70" s="28" t="s">
        <v>20</v>
      </c>
      <c r="J70" s="60" t="s">
        <v>25</v>
      </c>
    </row>
    <row r="71" spans="1:10">
      <c r="A71" s="1">
        <v>40000160</v>
      </c>
      <c r="B71" s="34" t="s">
        <v>145</v>
      </c>
      <c r="C71" s="90" t="s">
        <v>146</v>
      </c>
      <c r="D71" s="86">
        <v>157</v>
      </c>
      <c r="E71" s="86">
        <v>6</v>
      </c>
      <c r="F71" s="86">
        <v>8</v>
      </c>
      <c r="G71" s="86">
        <v>9.8</v>
      </c>
      <c r="H71" s="28" t="s">
        <v>15</v>
      </c>
      <c r="I71" s="28" t="s">
        <v>24</v>
      </c>
      <c r="J71" s="60" t="s">
        <v>25</v>
      </c>
    </row>
    <row r="72" spans="1:10">
      <c r="A72" s="1">
        <v>40000128</v>
      </c>
      <c r="B72" s="34" t="s">
        <v>147</v>
      </c>
      <c r="C72" s="34" t="s">
        <v>88</v>
      </c>
      <c r="D72" s="86">
        <v>166</v>
      </c>
      <c r="E72" s="86">
        <v>5</v>
      </c>
      <c r="F72" s="86">
        <v>7</v>
      </c>
      <c r="G72" s="86">
        <v>9.6</v>
      </c>
      <c r="H72" s="28" t="s">
        <v>15</v>
      </c>
      <c r="I72" s="28" t="s">
        <v>148</v>
      </c>
      <c r="J72" s="60" t="s">
        <v>25</v>
      </c>
    </row>
    <row r="73" spans="1:10">
      <c r="A73" s="1">
        <v>40000057</v>
      </c>
      <c r="B73" s="34" t="s">
        <v>149</v>
      </c>
      <c r="C73" s="34" t="s">
        <v>150</v>
      </c>
      <c r="D73" s="86">
        <v>280</v>
      </c>
      <c r="E73" s="86">
        <v>5</v>
      </c>
      <c r="F73" s="86">
        <v>7</v>
      </c>
      <c r="G73" s="86">
        <v>10.5</v>
      </c>
      <c r="H73" s="87" t="s">
        <v>15</v>
      </c>
      <c r="I73" s="87" t="s">
        <v>36</v>
      </c>
      <c r="J73" s="60" t="s">
        <v>25</v>
      </c>
    </row>
    <row r="74" spans="1:10">
      <c r="A74" s="1">
        <v>40000054</v>
      </c>
      <c r="B74" s="34" t="s">
        <v>151</v>
      </c>
      <c r="C74" s="34" t="s">
        <v>152</v>
      </c>
      <c r="D74" s="86" t="s">
        <v>153</v>
      </c>
      <c r="E74" s="86">
        <v>5</v>
      </c>
      <c r="F74" s="86">
        <v>7</v>
      </c>
      <c r="G74" s="86">
        <v>9.4</v>
      </c>
      <c r="H74" s="87" t="s">
        <v>15</v>
      </c>
      <c r="I74" s="87" t="s">
        <v>16</v>
      </c>
      <c r="J74" s="60" t="s">
        <v>25</v>
      </c>
    </row>
    <row r="75" spans="1:10">
      <c r="A75" s="1">
        <v>40000053</v>
      </c>
      <c r="B75" s="34" t="s">
        <v>154</v>
      </c>
      <c r="C75" s="34" t="s">
        <v>63</v>
      </c>
      <c r="D75" s="86">
        <v>178</v>
      </c>
      <c r="E75" s="86">
        <v>4</v>
      </c>
      <c r="F75" s="86">
        <v>7</v>
      </c>
      <c r="G75" s="86">
        <v>8</v>
      </c>
      <c r="H75" s="87" t="s">
        <v>15</v>
      </c>
      <c r="I75" s="87" t="s">
        <v>57</v>
      </c>
      <c r="J75" s="60" t="s">
        <v>25</v>
      </c>
    </row>
    <row r="76" spans="1:10">
      <c r="A76" s="1">
        <v>40000123</v>
      </c>
      <c r="B76" s="34" t="s">
        <v>155</v>
      </c>
      <c r="C76" s="34" t="s">
        <v>156</v>
      </c>
      <c r="D76" s="86">
        <v>119</v>
      </c>
      <c r="E76" s="86">
        <v>3</v>
      </c>
      <c r="F76" s="86">
        <v>6</v>
      </c>
      <c r="G76" s="86">
        <v>9.5</v>
      </c>
      <c r="H76" s="28" t="s">
        <v>15</v>
      </c>
      <c r="I76" s="28" t="s">
        <v>24</v>
      </c>
      <c r="J76" s="60" t="s">
        <v>25</v>
      </c>
    </row>
    <row r="77" spans="1:10">
      <c r="A77" s="1">
        <v>40000044</v>
      </c>
      <c r="B77" s="34" t="s">
        <v>157</v>
      </c>
      <c r="C77" s="34" t="s">
        <v>158</v>
      </c>
      <c r="D77" s="86">
        <v>140</v>
      </c>
      <c r="E77" s="86">
        <v>3</v>
      </c>
      <c r="F77" s="86">
        <v>6</v>
      </c>
      <c r="G77" s="86">
        <v>8</v>
      </c>
      <c r="H77" s="87" t="s">
        <v>15</v>
      </c>
      <c r="I77" s="28" t="s">
        <v>20</v>
      </c>
      <c r="J77" s="60" t="s">
        <v>25</v>
      </c>
    </row>
    <row r="78" spans="1:10">
      <c r="A78" s="83" t="s">
        <v>27</v>
      </c>
      <c r="B78" s="83"/>
      <c r="C78" s="83"/>
      <c r="D78" s="83"/>
      <c r="E78" s="83"/>
      <c r="F78" s="83"/>
      <c r="G78" s="83"/>
      <c r="H78" s="83"/>
      <c r="I78" s="83"/>
      <c r="J78" s="83"/>
    </row>
    <row r="79" spans="1:10">
      <c r="A79" s="1">
        <v>50000038</v>
      </c>
      <c r="B79" s="34" t="s">
        <v>159</v>
      </c>
      <c r="C79" s="90" t="s">
        <v>160</v>
      </c>
      <c r="D79" s="86">
        <v>190</v>
      </c>
      <c r="E79" s="86">
        <v>5</v>
      </c>
      <c r="F79" s="86">
        <v>8</v>
      </c>
      <c r="G79" s="86">
        <v>10.2</v>
      </c>
      <c r="H79" s="87" t="s">
        <v>15</v>
      </c>
      <c r="I79" s="28" t="s">
        <v>20</v>
      </c>
      <c r="J79" s="10" t="s">
        <v>27</v>
      </c>
    </row>
    <row r="80" spans="1:10">
      <c r="A80" s="1">
        <v>50000048</v>
      </c>
      <c r="B80" s="34" t="s">
        <v>161</v>
      </c>
      <c r="C80" s="90" t="s">
        <v>162</v>
      </c>
      <c r="D80" s="86">
        <v>177</v>
      </c>
      <c r="E80" s="86">
        <v>7</v>
      </c>
      <c r="F80" s="86">
        <v>9.6</v>
      </c>
      <c r="G80" s="86">
        <v>10.3</v>
      </c>
      <c r="H80" s="87" t="s">
        <v>15</v>
      </c>
      <c r="I80" s="87" t="s">
        <v>36</v>
      </c>
      <c r="J80" s="10" t="s">
        <v>27</v>
      </c>
    </row>
    <row r="81" spans="1:10">
      <c r="A81" s="1">
        <v>50000075</v>
      </c>
      <c r="B81" s="34" t="s">
        <v>163</v>
      </c>
      <c r="C81" s="34" t="s">
        <v>29</v>
      </c>
      <c r="D81" s="86">
        <v>150</v>
      </c>
      <c r="E81" s="86">
        <v>5</v>
      </c>
      <c r="F81" s="86">
        <v>7</v>
      </c>
      <c r="G81" s="86">
        <v>9.7</v>
      </c>
      <c r="H81" s="28" t="s">
        <v>15</v>
      </c>
      <c r="I81" s="28" t="s">
        <v>24</v>
      </c>
      <c r="J81" s="10" t="s">
        <v>27</v>
      </c>
    </row>
    <row r="82" spans="1:10">
      <c r="A82" s="1">
        <v>50000034</v>
      </c>
      <c r="B82" s="34" t="s">
        <v>164</v>
      </c>
      <c r="C82" s="34" t="s">
        <v>165</v>
      </c>
      <c r="D82" s="86">
        <v>166</v>
      </c>
      <c r="E82" s="86">
        <v>4</v>
      </c>
      <c r="F82" s="86">
        <v>7</v>
      </c>
      <c r="G82" s="86">
        <v>9.1</v>
      </c>
      <c r="H82" s="28" t="s">
        <v>15</v>
      </c>
      <c r="I82" s="28" t="s">
        <v>24</v>
      </c>
      <c r="J82" s="10" t="s">
        <v>27</v>
      </c>
    </row>
    <row r="83" spans="1:10">
      <c r="A83" s="1">
        <v>50000122</v>
      </c>
      <c r="B83" s="34" t="s">
        <v>166</v>
      </c>
      <c r="C83" s="90" t="s">
        <v>167</v>
      </c>
      <c r="D83" s="86">
        <v>200</v>
      </c>
      <c r="E83" s="86">
        <v>5</v>
      </c>
      <c r="F83" s="86">
        <v>7</v>
      </c>
      <c r="G83" s="86">
        <v>9.7</v>
      </c>
      <c r="H83" s="87" t="s">
        <v>15</v>
      </c>
      <c r="I83" s="87" t="s">
        <v>57</v>
      </c>
      <c r="J83" s="10" t="s">
        <v>27</v>
      </c>
    </row>
    <row r="84" spans="1:10">
      <c r="A84" s="1">
        <v>50000112</v>
      </c>
      <c r="B84" s="34" t="s">
        <v>168</v>
      </c>
      <c r="C84" s="90" t="s">
        <v>169</v>
      </c>
      <c r="D84" s="86">
        <v>179</v>
      </c>
      <c r="E84" s="86">
        <v>3</v>
      </c>
      <c r="F84" s="86">
        <v>7</v>
      </c>
      <c r="G84" s="86">
        <v>9.1</v>
      </c>
      <c r="H84" s="28" t="s">
        <v>15</v>
      </c>
      <c r="I84" s="28" t="s">
        <v>24</v>
      </c>
      <c r="J84" s="10" t="s">
        <v>27</v>
      </c>
    </row>
    <row r="85" spans="1:10">
      <c r="A85" s="1">
        <v>50000044</v>
      </c>
      <c r="B85" s="34" t="s">
        <v>170</v>
      </c>
      <c r="C85" s="34" t="s">
        <v>171</v>
      </c>
      <c r="D85" s="86">
        <v>175</v>
      </c>
      <c r="E85" s="86">
        <v>4</v>
      </c>
      <c r="F85" s="86">
        <v>7</v>
      </c>
      <c r="G85" s="86">
        <v>8</v>
      </c>
      <c r="H85" s="28" t="s">
        <v>15</v>
      </c>
      <c r="I85" s="28" t="s">
        <v>24</v>
      </c>
      <c r="J85" s="10" t="s">
        <v>27</v>
      </c>
    </row>
    <row r="86" spans="1:10">
      <c r="A86" s="1">
        <v>50000042</v>
      </c>
      <c r="B86" s="34" t="s">
        <v>172</v>
      </c>
      <c r="C86" s="34" t="s">
        <v>173</v>
      </c>
      <c r="D86" s="86">
        <v>180</v>
      </c>
      <c r="E86" s="86">
        <v>4</v>
      </c>
      <c r="F86" s="86">
        <v>8</v>
      </c>
      <c r="G86" s="86">
        <v>9.5</v>
      </c>
      <c r="H86" s="28" t="s">
        <v>15</v>
      </c>
      <c r="I86" s="28" t="s">
        <v>24</v>
      </c>
      <c r="J86" s="10" t="s">
        <v>27</v>
      </c>
    </row>
    <row r="87" spans="1:10">
      <c r="A87" s="1">
        <v>50000036</v>
      </c>
      <c r="B87" s="34" t="s">
        <v>174</v>
      </c>
      <c r="C87" s="34" t="s">
        <v>53</v>
      </c>
      <c r="D87" s="86">
        <v>190</v>
      </c>
      <c r="E87" s="86">
        <v>5</v>
      </c>
      <c r="F87" s="86">
        <v>8</v>
      </c>
      <c r="G87" s="86">
        <v>10.7</v>
      </c>
      <c r="H87" s="87" t="s">
        <v>15</v>
      </c>
      <c r="I87" s="87" t="s">
        <v>16</v>
      </c>
      <c r="J87" s="10" t="s">
        <v>27</v>
      </c>
    </row>
    <row r="88" spans="1:10">
      <c r="A88" s="1">
        <v>50000046</v>
      </c>
      <c r="B88" s="34" t="s">
        <v>175</v>
      </c>
      <c r="C88" s="34" t="s">
        <v>103</v>
      </c>
      <c r="D88" s="86">
        <v>160</v>
      </c>
      <c r="E88" s="86">
        <v>5</v>
      </c>
      <c r="F88" s="86">
        <v>9.7</v>
      </c>
      <c r="G88" s="86">
        <v>10.3</v>
      </c>
      <c r="H88" s="28" t="s">
        <v>15</v>
      </c>
      <c r="I88" s="28" t="s">
        <v>24</v>
      </c>
      <c r="J88" s="10" t="s">
        <v>27</v>
      </c>
    </row>
    <row r="89" spans="1:10">
      <c r="A89" s="1">
        <v>50000175</v>
      </c>
      <c r="B89" s="34" t="s">
        <v>176</v>
      </c>
      <c r="C89" s="90" t="s">
        <v>177</v>
      </c>
      <c r="D89" s="86">
        <v>157</v>
      </c>
      <c r="E89" s="86">
        <v>3</v>
      </c>
      <c r="F89" s="86">
        <v>7</v>
      </c>
      <c r="G89" s="86">
        <v>8</v>
      </c>
      <c r="H89" s="28" t="s">
        <v>15</v>
      </c>
      <c r="I89" s="28" t="s">
        <v>24</v>
      </c>
      <c r="J89" s="10" t="s">
        <v>27</v>
      </c>
    </row>
    <row r="90" spans="1:10">
      <c r="A90" s="1">
        <v>50000127</v>
      </c>
      <c r="B90" s="34" t="s">
        <v>178</v>
      </c>
      <c r="C90" s="90" t="s">
        <v>179</v>
      </c>
      <c r="D90" s="86">
        <v>148</v>
      </c>
      <c r="E90" s="86">
        <v>4</v>
      </c>
      <c r="F90" s="86">
        <v>8</v>
      </c>
      <c r="G90" s="86">
        <v>10.1</v>
      </c>
      <c r="H90" s="28" t="s">
        <v>15</v>
      </c>
      <c r="I90" s="28" t="s">
        <v>180</v>
      </c>
      <c r="J90" s="10" t="s">
        <v>27</v>
      </c>
    </row>
    <row r="91" spans="1:10">
      <c r="A91" s="1">
        <v>50000079</v>
      </c>
      <c r="B91" s="34" t="s">
        <v>181</v>
      </c>
      <c r="C91" s="34" t="s">
        <v>44</v>
      </c>
      <c r="D91" s="86">
        <v>176</v>
      </c>
      <c r="E91" s="86">
        <v>3</v>
      </c>
      <c r="F91" s="86">
        <v>6</v>
      </c>
      <c r="G91" s="86">
        <v>8</v>
      </c>
      <c r="H91" s="28" t="s">
        <v>15</v>
      </c>
      <c r="I91" s="28" t="s">
        <v>24</v>
      </c>
      <c r="J91" s="10" t="s">
        <v>27</v>
      </c>
    </row>
    <row r="92" spans="1:10">
      <c r="A92" s="1">
        <v>50000159</v>
      </c>
      <c r="B92" s="34" t="s">
        <v>182</v>
      </c>
      <c r="C92" s="34" t="s">
        <v>183</v>
      </c>
      <c r="D92" s="86">
        <v>200</v>
      </c>
      <c r="E92" s="86">
        <v>4</v>
      </c>
      <c r="F92" s="86">
        <v>9.3</v>
      </c>
      <c r="G92" s="86">
        <v>10.2</v>
      </c>
      <c r="H92" s="28" t="s">
        <v>15</v>
      </c>
      <c r="I92" s="28" t="s">
        <v>24</v>
      </c>
      <c r="J92" s="10" t="s">
        <v>27</v>
      </c>
    </row>
    <row r="93" spans="1:10">
      <c r="A93" s="1">
        <v>50000089</v>
      </c>
      <c r="B93" s="34" t="s">
        <v>184</v>
      </c>
      <c r="C93" s="90"/>
      <c r="D93" s="86">
        <v>128</v>
      </c>
      <c r="E93" s="86">
        <v>4</v>
      </c>
      <c r="F93" s="86">
        <v>8</v>
      </c>
      <c r="G93" s="86">
        <v>9.3</v>
      </c>
      <c r="H93" s="87" t="s">
        <v>15</v>
      </c>
      <c r="I93" s="87" t="s">
        <v>57</v>
      </c>
      <c r="J93" s="10" t="s">
        <v>27</v>
      </c>
    </row>
    <row r="94" spans="1:10">
      <c r="A94" s="1">
        <v>50000120</v>
      </c>
      <c r="B94" s="34" t="s">
        <v>185</v>
      </c>
      <c r="C94" s="90" t="s">
        <v>186</v>
      </c>
      <c r="D94" s="86">
        <v>153</v>
      </c>
      <c r="E94" s="86">
        <v>2</v>
      </c>
      <c r="F94" s="86">
        <v>7</v>
      </c>
      <c r="G94" s="86">
        <v>8</v>
      </c>
      <c r="H94" s="28" t="s">
        <v>15</v>
      </c>
      <c r="I94" s="28" t="s">
        <v>24</v>
      </c>
      <c r="J94" s="10" t="s">
        <v>27</v>
      </c>
    </row>
    <row r="95" spans="1:10">
      <c r="A95" s="1">
        <v>50000091</v>
      </c>
      <c r="B95" s="34" t="s">
        <v>187</v>
      </c>
      <c r="C95" s="34" t="s">
        <v>188</v>
      </c>
      <c r="D95" s="86" t="s">
        <v>189</v>
      </c>
      <c r="E95" s="86">
        <v>4</v>
      </c>
      <c r="F95" s="86">
        <v>8</v>
      </c>
      <c r="G95" s="86">
        <v>9.8</v>
      </c>
      <c r="J95" s="10" t="s">
        <v>27</v>
      </c>
    </row>
    <row r="96" spans="1:10">
      <c r="A96" s="1">
        <v>50000102</v>
      </c>
      <c r="B96" s="34" t="s">
        <v>190</v>
      </c>
      <c r="C96" s="90" t="s">
        <v>191</v>
      </c>
      <c r="D96" s="86">
        <v>185</v>
      </c>
      <c r="E96" s="86">
        <v>6</v>
      </c>
      <c r="F96" s="86">
        <v>10.4</v>
      </c>
      <c r="G96" s="86">
        <v>10.7</v>
      </c>
      <c r="H96" s="87" t="s">
        <v>15</v>
      </c>
      <c r="I96" s="87" t="s">
        <v>57</v>
      </c>
      <c r="J96" s="10" t="s">
        <v>27</v>
      </c>
    </row>
    <row r="97" spans="1:10">
      <c r="A97" s="1">
        <v>50000083</v>
      </c>
      <c r="B97" s="34" t="s">
        <v>192</v>
      </c>
      <c r="C97" s="34" t="s">
        <v>105</v>
      </c>
      <c r="D97" s="86">
        <v>188</v>
      </c>
      <c r="E97" s="86">
        <v>4</v>
      </c>
      <c r="F97" s="86">
        <v>8</v>
      </c>
      <c r="G97" s="86">
        <v>10</v>
      </c>
      <c r="H97" s="87" t="s">
        <v>15</v>
      </c>
      <c r="I97" s="87" t="s">
        <v>36</v>
      </c>
      <c r="J97" s="10" t="s">
        <v>27</v>
      </c>
    </row>
    <row r="98" spans="1:10">
      <c r="A98" s="1">
        <v>50000060</v>
      </c>
      <c r="B98" s="34" t="s">
        <v>193</v>
      </c>
      <c r="C98" s="34" t="s">
        <v>194</v>
      </c>
      <c r="D98" s="86">
        <v>205</v>
      </c>
      <c r="E98" s="86">
        <v>5</v>
      </c>
      <c r="F98" s="86">
        <v>8</v>
      </c>
      <c r="G98" s="86">
        <v>10.3</v>
      </c>
      <c r="H98" s="87" t="s">
        <v>15</v>
      </c>
      <c r="I98" s="87" t="s">
        <v>16</v>
      </c>
      <c r="J98" s="10" t="s">
        <v>27</v>
      </c>
    </row>
    <row r="99" spans="1:10">
      <c r="A99" s="1">
        <v>50000264</v>
      </c>
      <c r="B99" s="34" t="s">
        <v>195</v>
      </c>
      <c r="C99" s="34" t="s">
        <v>196</v>
      </c>
      <c r="D99" s="86">
        <v>182</v>
      </c>
      <c r="E99" s="86">
        <v>4</v>
      </c>
      <c r="F99" s="86">
        <v>8</v>
      </c>
      <c r="G99" s="86">
        <v>10</v>
      </c>
      <c r="J99" s="10" t="s">
        <v>27</v>
      </c>
    </row>
    <row r="100" spans="1:10">
      <c r="A100" s="1">
        <v>50000200</v>
      </c>
      <c r="B100" s="34" t="s">
        <v>197</v>
      </c>
      <c r="C100" s="34" t="s">
        <v>32</v>
      </c>
      <c r="D100" s="86">
        <v>120</v>
      </c>
      <c r="E100" s="86">
        <v>5</v>
      </c>
      <c r="F100" s="86">
        <v>8</v>
      </c>
      <c r="G100" s="86">
        <v>10.4</v>
      </c>
      <c r="H100" s="28" t="s">
        <v>15</v>
      </c>
      <c r="I100" s="28" t="s">
        <v>148</v>
      </c>
      <c r="J100" s="10" t="s">
        <v>27</v>
      </c>
    </row>
    <row r="101" spans="1:10">
      <c r="A101" s="1">
        <v>50000133</v>
      </c>
      <c r="B101" s="34" t="s">
        <v>198</v>
      </c>
      <c r="C101" s="90" t="s">
        <v>199</v>
      </c>
      <c r="D101" s="86">
        <v>210</v>
      </c>
      <c r="E101" s="86">
        <v>3</v>
      </c>
      <c r="F101" s="86">
        <v>6</v>
      </c>
      <c r="G101" s="86">
        <v>9.6</v>
      </c>
      <c r="H101" s="28" t="s">
        <v>15</v>
      </c>
      <c r="I101" s="28" t="s">
        <v>24</v>
      </c>
      <c r="J101" s="10" t="s">
        <v>27</v>
      </c>
    </row>
    <row r="102" spans="1:10">
      <c r="A102" s="1">
        <v>50000134</v>
      </c>
      <c r="B102" s="34" t="s">
        <v>200</v>
      </c>
      <c r="C102" s="90" t="s">
        <v>201</v>
      </c>
      <c r="D102" s="86">
        <v>212</v>
      </c>
      <c r="E102" s="86">
        <v>5</v>
      </c>
      <c r="F102" s="86">
        <v>8</v>
      </c>
      <c r="G102" s="86">
        <v>10.6</v>
      </c>
      <c r="H102" s="87" t="s">
        <v>15</v>
      </c>
      <c r="I102" s="87" t="s">
        <v>57</v>
      </c>
      <c r="J102" s="10" t="s">
        <v>27</v>
      </c>
    </row>
    <row r="103" spans="1:10">
      <c r="A103" s="1">
        <v>50000142</v>
      </c>
      <c r="B103" s="34" t="s">
        <v>202</v>
      </c>
      <c r="C103" s="90" t="s">
        <v>203</v>
      </c>
      <c r="D103" s="86">
        <v>180</v>
      </c>
      <c r="E103" s="86">
        <v>4</v>
      </c>
      <c r="F103" s="86">
        <v>8</v>
      </c>
      <c r="G103" s="86">
        <v>9.8</v>
      </c>
      <c r="H103" s="28" t="s">
        <v>15</v>
      </c>
      <c r="I103" s="28" t="s">
        <v>24</v>
      </c>
      <c r="J103" s="10" t="s">
        <v>27</v>
      </c>
    </row>
    <row r="104" spans="1:10">
      <c r="A104" s="1">
        <v>50000232</v>
      </c>
      <c r="B104" s="34" t="s">
        <v>204</v>
      </c>
      <c r="C104" s="34" t="s">
        <v>205</v>
      </c>
      <c r="D104" s="86">
        <v>162</v>
      </c>
      <c r="E104" s="86">
        <v>2</v>
      </c>
      <c r="F104" s="86">
        <v>5</v>
      </c>
      <c r="G104" s="86">
        <v>8</v>
      </c>
      <c r="H104" s="28" t="s">
        <v>15</v>
      </c>
      <c r="I104" s="28" t="s">
        <v>24</v>
      </c>
      <c r="J104" s="10" t="s">
        <v>27</v>
      </c>
    </row>
    <row r="105" spans="1:10">
      <c r="A105" s="1">
        <v>50000275</v>
      </c>
      <c r="B105" s="34" t="s">
        <v>206</v>
      </c>
      <c r="C105" s="90" t="s">
        <v>207</v>
      </c>
      <c r="D105" s="86">
        <v>188</v>
      </c>
      <c r="E105" s="86">
        <v>4</v>
      </c>
      <c r="F105" s="86">
        <v>8</v>
      </c>
      <c r="G105" s="86">
        <v>9.7</v>
      </c>
      <c r="H105" s="87" t="s">
        <v>15</v>
      </c>
      <c r="I105" s="87" t="s">
        <v>49</v>
      </c>
      <c r="J105" s="10" t="s">
        <v>27</v>
      </c>
    </row>
    <row r="106" spans="1:10">
      <c r="A106" s="1">
        <v>50000032</v>
      </c>
      <c r="B106" s="34" t="s">
        <v>208</v>
      </c>
      <c r="C106" s="34" t="s">
        <v>139</v>
      </c>
      <c r="D106" s="86">
        <v>165</v>
      </c>
      <c r="E106" s="86">
        <v>3</v>
      </c>
      <c r="F106" s="86">
        <v>6</v>
      </c>
      <c r="G106" s="86">
        <v>8</v>
      </c>
      <c r="H106" s="28" t="s">
        <v>15</v>
      </c>
      <c r="I106" s="28" t="s">
        <v>24</v>
      </c>
      <c r="J106" s="10" t="s">
        <v>27</v>
      </c>
    </row>
    <row r="107" spans="1:10">
      <c r="A107" s="1">
        <v>50000150</v>
      </c>
      <c r="B107" s="34" t="s">
        <v>209</v>
      </c>
      <c r="C107" s="34" t="s">
        <v>35</v>
      </c>
      <c r="D107" s="86">
        <v>172</v>
      </c>
      <c r="E107" s="86">
        <v>3</v>
      </c>
      <c r="F107" s="86">
        <v>7</v>
      </c>
      <c r="G107" s="86">
        <v>8</v>
      </c>
      <c r="H107" s="28" t="s">
        <v>15</v>
      </c>
      <c r="I107" s="28" t="s">
        <v>24</v>
      </c>
      <c r="J107" s="10" t="s">
        <v>27</v>
      </c>
    </row>
    <row r="108" spans="1:10">
      <c r="A108" s="1">
        <v>50000196</v>
      </c>
      <c r="B108" s="34" t="s">
        <v>210</v>
      </c>
      <c r="C108" s="34" t="s">
        <v>105</v>
      </c>
      <c r="D108" s="86">
        <v>177</v>
      </c>
      <c r="E108" s="86">
        <v>4</v>
      </c>
      <c r="F108" s="86">
        <v>7</v>
      </c>
      <c r="G108" s="86">
        <v>9.6</v>
      </c>
      <c r="H108" s="28" t="s">
        <v>15</v>
      </c>
      <c r="I108" s="28" t="s">
        <v>24</v>
      </c>
      <c r="J108" s="10" t="s">
        <v>27</v>
      </c>
    </row>
    <row r="109" spans="1:10">
      <c r="A109" s="1">
        <v>50000143</v>
      </c>
      <c r="B109" s="34" t="s">
        <v>211</v>
      </c>
      <c r="C109" s="90" t="s">
        <v>212</v>
      </c>
      <c r="D109" s="86">
        <v>180</v>
      </c>
      <c r="E109" s="86">
        <v>4</v>
      </c>
      <c r="F109" s="86">
        <v>8</v>
      </c>
      <c r="G109" s="86">
        <v>10.3</v>
      </c>
      <c r="H109" s="28" t="s">
        <v>15</v>
      </c>
      <c r="I109" s="28" t="s">
        <v>24</v>
      </c>
      <c r="J109" s="10" t="s">
        <v>27</v>
      </c>
    </row>
    <row r="110" spans="1:10">
      <c r="A110" s="1">
        <v>50000207</v>
      </c>
      <c r="B110" s="34" t="s">
        <v>213</v>
      </c>
      <c r="C110" s="34" t="s">
        <v>35</v>
      </c>
      <c r="D110" s="86">
        <v>138</v>
      </c>
      <c r="E110" s="86">
        <v>3</v>
      </c>
      <c r="F110" s="86">
        <v>6</v>
      </c>
      <c r="G110" s="86">
        <v>9.5</v>
      </c>
      <c r="H110" s="28" t="s">
        <v>15</v>
      </c>
      <c r="I110" s="28" t="s">
        <v>45</v>
      </c>
      <c r="J110" s="10" t="s">
        <v>27</v>
      </c>
    </row>
    <row r="111" spans="1:10">
      <c r="A111" s="1">
        <v>50000115</v>
      </c>
      <c r="B111" s="34" t="s">
        <v>214</v>
      </c>
      <c r="C111" s="34" t="s">
        <v>215</v>
      </c>
      <c r="D111" s="86">
        <v>180</v>
      </c>
      <c r="E111" s="86">
        <v>4</v>
      </c>
      <c r="F111" s="86">
        <v>8</v>
      </c>
      <c r="G111" s="86">
        <v>9.5</v>
      </c>
      <c r="H111" s="28" t="s">
        <v>15</v>
      </c>
      <c r="I111" s="28" t="s">
        <v>24</v>
      </c>
      <c r="J111" s="10" t="s">
        <v>27</v>
      </c>
    </row>
    <row r="112" spans="1:10">
      <c r="A112" s="1">
        <v>50000039</v>
      </c>
      <c r="B112" s="34" t="s">
        <v>216</v>
      </c>
      <c r="C112" s="34" t="s">
        <v>131</v>
      </c>
      <c r="D112" s="86">
        <v>190</v>
      </c>
      <c r="E112" s="86">
        <v>5</v>
      </c>
      <c r="F112" s="86">
        <v>7</v>
      </c>
      <c r="G112" s="86">
        <v>8</v>
      </c>
      <c r="H112" s="87" t="s">
        <v>15</v>
      </c>
      <c r="I112" s="87" t="s">
        <v>49</v>
      </c>
      <c r="J112" s="10" t="s">
        <v>27</v>
      </c>
    </row>
    <row r="113" spans="1:10">
      <c r="A113" s="1">
        <v>50000086</v>
      </c>
      <c r="B113" s="34" t="s">
        <v>217</v>
      </c>
      <c r="C113" s="34" t="s">
        <v>105</v>
      </c>
      <c r="D113" s="86">
        <v>230</v>
      </c>
      <c r="E113" s="86">
        <v>4</v>
      </c>
      <c r="F113" s="86">
        <v>6</v>
      </c>
      <c r="G113" s="86">
        <v>8</v>
      </c>
      <c r="H113" s="28" t="s">
        <v>15</v>
      </c>
      <c r="I113" s="28" t="s">
        <v>24</v>
      </c>
      <c r="J113" s="10" t="s">
        <v>27</v>
      </c>
    </row>
    <row r="114" spans="1:10">
      <c r="A114" s="1">
        <v>50000117</v>
      </c>
      <c r="B114" s="34" t="s">
        <v>218</v>
      </c>
      <c r="C114" s="34" t="s">
        <v>88</v>
      </c>
      <c r="D114" s="86">
        <v>182</v>
      </c>
      <c r="E114" s="86">
        <v>4</v>
      </c>
      <c r="F114" s="86">
        <v>7</v>
      </c>
      <c r="G114" s="86">
        <v>9.4</v>
      </c>
      <c r="H114" s="28" t="s">
        <v>15</v>
      </c>
      <c r="I114" s="28" t="s">
        <v>24</v>
      </c>
      <c r="J114" s="10" t="s">
        <v>27</v>
      </c>
    </row>
    <row r="115" spans="1:10">
      <c r="A115" s="1">
        <v>50000244</v>
      </c>
      <c r="B115" s="34" t="s">
        <v>219</v>
      </c>
      <c r="C115" s="34">
        <v>96</v>
      </c>
      <c r="D115" s="86">
        <v>277</v>
      </c>
      <c r="E115" s="86">
        <v>3</v>
      </c>
      <c r="F115" s="86">
        <v>8</v>
      </c>
      <c r="G115" s="86">
        <v>9.2</v>
      </c>
      <c r="H115" s="28" t="s">
        <v>15</v>
      </c>
      <c r="I115" s="28" t="s">
        <v>24</v>
      </c>
      <c r="J115" s="10" t="s">
        <v>27</v>
      </c>
    </row>
    <row r="116" spans="1:10">
      <c r="A116" s="1">
        <v>50000147</v>
      </c>
      <c r="B116" s="34" t="s">
        <v>220</v>
      </c>
      <c r="C116" s="34" t="s">
        <v>14</v>
      </c>
      <c r="D116" s="86">
        <v>151</v>
      </c>
      <c r="E116" s="86">
        <v>4</v>
      </c>
      <c r="F116" s="86">
        <v>7</v>
      </c>
      <c r="G116" s="86">
        <v>8</v>
      </c>
      <c r="H116" s="28" t="s">
        <v>15</v>
      </c>
      <c r="I116" s="28" t="s">
        <v>24</v>
      </c>
      <c r="J116" s="10" t="s">
        <v>27</v>
      </c>
    </row>
    <row r="117" spans="1:10">
      <c r="A117" s="1">
        <v>50000262</v>
      </c>
      <c r="B117" s="34" t="s">
        <v>221</v>
      </c>
      <c r="C117" s="90" t="s">
        <v>222</v>
      </c>
      <c r="D117" s="86">
        <v>198</v>
      </c>
      <c r="E117" s="86">
        <v>4</v>
      </c>
      <c r="F117" s="86">
        <v>9.5</v>
      </c>
      <c r="G117" s="86">
        <v>10.7</v>
      </c>
      <c r="H117" s="28" t="s">
        <v>15</v>
      </c>
      <c r="I117" s="28" t="s">
        <v>95</v>
      </c>
      <c r="J117" s="10" t="s">
        <v>27</v>
      </c>
    </row>
    <row r="118" spans="1:10">
      <c r="A118" s="1">
        <v>50000205</v>
      </c>
      <c r="B118" s="34" t="s">
        <v>223</v>
      </c>
      <c r="C118" s="34" t="s">
        <v>224</v>
      </c>
      <c r="D118" s="86">
        <v>200</v>
      </c>
      <c r="E118" s="86">
        <v>4</v>
      </c>
      <c r="F118" s="86">
        <v>6</v>
      </c>
      <c r="G118" s="86">
        <v>7</v>
      </c>
      <c r="H118" s="87" t="s">
        <v>15</v>
      </c>
      <c r="I118" s="87" t="s">
        <v>16</v>
      </c>
      <c r="J118" s="10" t="s">
        <v>27</v>
      </c>
    </row>
    <row r="119" spans="1:10">
      <c r="A119" s="1">
        <v>50000126</v>
      </c>
      <c r="B119" s="34" t="s">
        <v>225</v>
      </c>
      <c r="C119" s="34" t="s">
        <v>23</v>
      </c>
      <c r="D119" s="86">
        <v>205</v>
      </c>
      <c r="E119" s="86">
        <v>4</v>
      </c>
      <c r="F119" s="86">
        <v>8</v>
      </c>
      <c r="G119" s="86">
        <v>10.5</v>
      </c>
      <c r="H119" s="87" t="s">
        <v>15</v>
      </c>
      <c r="I119" s="87" t="s">
        <v>49</v>
      </c>
      <c r="J119" s="10" t="s">
        <v>27</v>
      </c>
    </row>
    <row r="120" spans="1:10">
      <c r="A120" s="1">
        <v>50000160</v>
      </c>
      <c r="B120" s="34" t="s">
        <v>226</v>
      </c>
      <c r="C120" s="34" t="s">
        <v>88</v>
      </c>
      <c r="D120" s="86">
        <v>165</v>
      </c>
      <c r="E120" s="86">
        <v>3</v>
      </c>
      <c r="F120" s="86">
        <v>7</v>
      </c>
      <c r="G120" s="86">
        <v>9.1</v>
      </c>
      <c r="H120" s="28" t="s">
        <v>15</v>
      </c>
      <c r="I120" s="28" t="s">
        <v>24</v>
      </c>
      <c r="J120" s="10" t="s">
        <v>27</v>
      </c>
    </row>
    <row r="121" spans="1:10">
      <c r="A121" s="1">
        <v>50000049</v>
      </c>
      <c r="B121" s="34" t="s">
        <v>227</v>
      </c>
      <c r="C121" s="34" t="s">
        <v>228</v>
      </c>
      <c r="D121" s="86">
        <v>183</v>
      </c>
      <c r="E121" s="86">
        <v>4</v>
      </c>
      <c r="F121" s="86">
        <v>6</v>
      </c>
      <c r="G121" s="86">
        <v>8</v>
      </c>
      <c r="H121" s="28" t="s">
        <v>15</v>
      </c>
      <c r="I121" s="28" t="s">
        <v>24</v>
      </c>
      <c r="J121" s="10" t="s">
        <v>27</v>
      </c>
    </row>
    <row r="122" spans="1:10">
      <c r="A122" s="1">
        <v>50000050</v>
      </c>
      <c r="B122" s="34" t="s">
        <v>229</v>
      </c>
      <c r="C122" s="34" t="s">
        <v>230</v>
      </c>
      <c r="D122" s="86">
        <v>140</v>
      </c>
      <c r="E122" s="86">
        <v>4</v>
      </c>
      <c r="F122" s="86">
        <v>8</v>
      </c>
      <c r="G122" s="86">
        <v>9.6</v>
      </c>
      <c r="H122" s="87" t="s">
        <v>15</v>
      </c>
      <c r="I122" s="87" t="s">
        <v>57</v>
      </c>
      <c r="J122" s="10" t="s">
        <v>27</v>
      </c>
    </row>
    <row r="123" spans="1:10">
      <c r="A123" s="1">
        <v>50000041</v>
      </c>
      <c r="B123" s="34" t="s">
        <v>231</v>
      </c>
      <c r="C123" s="34" t="s">
        <v>131</v>
      </c>
      <c r="D123" s="86">
        <v>160</v>
      </c>
      <c r="E123" s="86">
        <v>5</v>
      </c>
      <c r="F123" s="86">
        <v>8</v>
      </c>
      <c r="G123" s="86">
        <v>9.6</v>
      </c>
      <c r="H123" s="87" t="s">
        <v>15</v>
      </c>
      <c r="I123" s="87" t="s">
        <v>49</v>
      </c>
      <c r="J123" s="10" t="s">
        <v>27</v>
      </c>
    </row>
    <row r="124" spans="1:10">
      <c r="A124" s="1">
        <v>50000059</v>
      </c>
      <c r="B124" s="34" t="s">
        <v>232</v>
      </c>
      <c r="C124" s="34" t="s">
        <v>88</v>
      </c>
      <c r="D124" s="86">
        <v>150</v>
      </c>
      <c r="E124" s="86">
        <v>4</v>
      </c>
      <c r="F124" s="86">
        <v>6</v>
      </c>
      <c r="G124" s="86">
        <v>8</v>
      </c>
      <c r="H124" s="28" t="s">
        <v>15</v>
      </c>
      <c r="I124" s="28" t="s">
        <v>24</v>
      </c>
      <c r="J124" s="10" t="s">
        <v>27</v>
      </c>
    </row>
    <row r="125" spans="1:10">
      <c r="A125" s="1">
        <v>50000025</v>
      </c>
      <c r="B125" s="34" t="s">
        <v>233</v>
      </c>
      <c r="C125" s="34" t="s">
        <v>131</v>
      </c>
      <c r="D125" s="86">
        <v>152</v>
      </c>
      <c r="E125" s="86">
        <v>4</v>
      </c>
      <c r="F125" s="86">
        <v>8</v>
      </c>
      <c r="G125" s="86">
        <v>9.6</v>
      </c>
      <c r="H125" s="87" t="s">
        <v>15</v>
      </c>
      <c r="I125" s="87" t="s">
        <v>36</v>
      </c>
      <c r="J125" s="10" t="s">
        <v>27</v>
      </c>
    </row>
    <row r="126" spans="1:10">
      <c r="A126" s="1">
        <v>50000111</v>
      </c>
      <c r="B126" s="34" t="s">
        <v>234</v>
      </c>
      <c r="C126" s="34" t="s">
        <v>235</v>
      </c>
      <c r="D126" s="86">
        <v>196</v>
      </c>
      <c r="E126" s="86">
        <v>3</v>
      </c>
      <c r="F126" s="86">
        <v>7</v>
      </c>
      <c r="G126" s="86">
        <v>9.2</v>
      </c>
      <c r="H126" s="28" t="s">
        <v>15</v>
      </c>
      <c r="I126" s="28" t="s">
        <v>24</v>
      </c>
      <c r="J126" s="10" t="s">
        <v>27</v>
      </c>
    </row>
    <row r="127" spans="1:10">
      <c r="A127" s="1">
        <v>50000072</v>
      </c>
      <c r="B127" s="34" t="s">
        <v>236</v>
      </c>
      <c r="C127" s="34" t="s">
        <v>237</v>
      </c>
      <c r="D127" s="86">
        <v>181</v>
      </c>
      <c r="E127" s="86">
        <v>5</v>
      </c>
      <c r="F127" s="86">
        <v>7</v>
      </c>
      <c r="G127" s="86">
        <v>9.4</v>
      </c>
      <c r="H127" s="87" t="s">
        <v>15</v>
      </c>
      <c r="I127" s="87" t="s">
        <v>57</v>
      </c>
      <c r="J127" s="10" t="s">
        <v>27</v>
      </c>
    </row>
    <row r="128" spans="1:10">
      <c r="A128" s="1">
        <v>50000179</v>
      </c>
      <c r="B128" s="34" t="s">
        <v>238</v>
      </c>
      <c r="C128" s="34" t="s">
        <v>239</v>
      </c>
      <c r="D128" s="86">
        <v>199</v>
      </c>
      <c r="E128" s="86">
        <v>4</v>
      </c>
      <c r="F128" s="86">
        <v>7</v>
      </c>
      <c r="G128" s="86">
        <v>10.2</v>
      </c>
      <c r="J128" s="10" t="s">
        <v>27</v>
      </c>
    </row>
    <row r="129" spans="1:10">
      <c r="A129" s="1">
        <v>50000158</v>
      </c>
      <c r="B129" s="34" t="s">
        <v>240</v>
      </c>
      <c r="C129" s="34" t="s">
        <v>241</v>
      </c>
      <c r="D129" s="86">
        <v>270</v>
      </c>
      <c r="E129" s="86">
        <v>5</v>
      </c>
      <c r="F129" s="86">
        <v>8</v>
      </c>
      <c r="G129" s="86">
        <v>10.5</v>
      </c>
      <c r="H129" s="28" t="s">
        <v>15</v>
      </c>
      <c r="I129" s="28" t="s">
        <v>24</v>
      </c>
      <c r="J129" s="10" t="s">
        <v>27</v>
      </c>
    </row>
    <row r="130" spans="1:10">
      <c r="A130" s="1">
        <v>50000114</v>
      </c>
      <c r="B130" s="34" t="s">
        <v>242</v>
      </c>
      <c r="C130" s="34" t="s">
        <v>243</v>
      </c>
      <c r="D130" s="86">
        <v>200</v>
      </c>
      <c r="E130" s="86">
        <v>3</v>
      </c>
      <c r="F130" s="86">
        <v>8</v>
      </c>
      <c r="G130" s="86">
        <v>10.1</v>
      </c>
      <c r="H130" s="87" t="s">
        <v>15</v>
      </c>
      <c r="I130" s="87" t="s">
        <v>16</v>
      </c>
      <c r="J130" s="10" t="s">
        <v>27</v>
      </c>
    </row>
    <row r="131" spans="1:10">
      <c r="A131" s="1">
        <v>50000118</v>
      </c>
      <c r="B131" s="34" t="s">
        <v>244</v>
      </c>
      <c r="C131" s="34" t="s">
        <v>245</v>
      </c>
      <c r="D131" s="86">
        <v>154</v>
      </c>
      <c r="E131" s="86">
        <v>3</v>
      </c>
      <c r="F131" s="86">
        <v>7</v>
      </c>
      <c r="G131" s="86">
        <v>8</v>
      </c>
      <c r="H131" s="28" t="s">
        <v>15</v>
      </c>
      <c r="I131" s="28" t="s">
        <v>24</v>
      </c>
      <c r="J131" s="10" t="s">
        <v>27</v>
      </c>
    </row>
    <row r="132" spans="1:10">
      <c r="A132" s="1">
        <v>50000090</v>
      </c>
      <c r="B132" s="34" t="s">
        <v>246</v>
      </c>
      <c r="C132" s="34" t="s">
        <v>247</v>
      </c>
      <c r="D132" s="86">
        <v>151</v>
      </c>
      <c r="E132" s="86">
        <v>3</v>
      </c>
      <c r="F132" s="86">
        <v>6</v>
      </c>
      <c r="G132" s="86">
        <v>9.5</v>
      </c>
      <c r="H132" s="28" t="s">
        <v>15</v>
      </c>
      <c r="I132" s="28" t="s">
        <v>24</v>
      </c>
      <c r="J132" s="10" t="s">
        <v>27</v>
      </c>
    </row>
    <row r="133" spans="1:10">
      <c r="A133" s="1">
        <v>50000124</v>
      </c>
      <c r="B133" s="34" t="s">
        <v>248</v>
      </c>
      <c r="C133" s="34" t="s">
        <v>35</v>
      </c>
      <c r="D133" s="86">
        <v>175</v>
      </c>
      <c r="E133" s="86">
        <v>4</v>
      </c>
      <c r="F133" s="86">
        <v>8</v>
      </c>
      <c r="G133" s="86">
        <v>10.6</v>
      </c>
      <c r="J133" s="10" t="s">
        <v>27</v>
      </c>
    </row>
    <row r="134" spans="1:10">
      <c r="A134" s="1">
        <v>50000108</v>
      </c>
      <c r="B134" s="34" t="s">
        <v>249</v>
      </c>
      <c r="C134" s="90" t="s">
        <v>250</v>
      </c>
      <c r="D134" s="86">
        <v>155</v>
      </c>
      <c r="E134" s="86">
        <v>4</v>
      </c>
      <c r="F134" s="86">
        <v>9.2</v>
      </c>
      <c r="G134" s="86">
        <v>10.6</v>
      </c>
      <c r="H134" s="87" t="s">
        <v>15</v>
      </c>
      <c r="I134" s="87" t="s">
        <v>16</v>
      </c>
      <c r="J134" s="10" t="s">
        <v>27</v>
      </c>
    </row>
    <row r="135" spans="1:10">
      <c r="A135" s="1">
        <v>50000099</v>
      </c>
      <c r="B135" s="34" t="s">
        <v>251</v>
      </c>
      <c r="C135" s="34" t="s">
        <v>14</v>
      </c>
      <c r="D135" s="86">
        <v>212</v>
      </c>
      <c r="E135" s="86">
        <v>4</v>
      </c>
      <c r="F135" s="86">
        <v>8</v>
      </c>
      <c r="G135" s="86">
        <v>10.2</v>
      </c>
      <c r="H135" s="87" t="s">
        <v>15</v>
      </c>
      <c r="I135" s="28" t="s">
        <v>20</v>
      </c>
      <c r="J135" s="10" t="s">
        <v>27</v>
      </c>
    </row>
    <row r="136" spans="1:10">
      <c r="A136" s="1">
        <v>50000047</v>
      </c>
      <c r="B136" s="34" t="s">
        <v>252</v>
      </c>
      <c r="C136" s="34" t="s">
        <v>65</v>
      </c>
      <c r="D136" s="86">
        <v>188</v>
      </c>
      <c r="E136" s="86">
        <v>3</v>
      </c>
      <c r="F136" s="86">
        <v>6</v>
      </c>
      <c r="G136" s="86">
        <v>9.7</v>
      </c>
      <c r="H136" s="28" t="s">
        <v>15</v>
      </c>
      <c r="I136" s="28" t="s">
        <v>124</v>
      </c>
      <c r="J136" s="10" t="s">
        <v>27</v>
      </c>
    </row>
    <row r="137" spans="1:10">
      <c r="A137" s="1">
        <v>50000030</v>
      </c>
      <c r="B137" s="34" t="s">
        <v>253</v>
      </c>
      <c r="C137" s="34" t="s">
        <v>105</v>
      </c>
      <c r="D137" s="86">
        <v>188</v>
      </c>
      <c r="E137" s="86">
        <v>5</v>
      </c>
      <c r="F137" s="86">
        <v>8</v>
      </c>
      <c r="G137" s="86">
        <v>9.8</v>
      </c>
      <c r="H137" s="87" t="s">
        <v>15</v>
      </c>
      <c r="I137" s="87" t="s">
        <v>57</v>
      </c>
      <c r="J137" s="10" t="s">
        <v>27</v>
      </c>
    </row>
    <row r="138" spans="1:10">
      <c r="A138" s="1">
        <v>50000097</v>
      </c>
      <c r="B138" s="34" t="s">
        <v>254</v>
      </c>
      <c r="C138" s="34" t="s">
        <v>65</v>
      </c>
      <c r="D138" s="86">
        <v>170</v>
      </c>
      <c r="E138" s="86">
        <v>4</v>
      </c>
      <c r="F138" s="86">
        <v>7</v>
      </c>
      <c r="G138" s="86">
        <v>10.3</v>
      </c>
      <c r="H138" s="28" t="s">
        <v>15</v>
      </c>
      <c r="I138" s="28" t="s">
        <v>24</v>
      </c>
      <c r="J138" s="10" t="s">
        <v>27</v>
      </c>
    </row>
    <row r="139" spans="1:10">
      <c r="A139" s="1">
        <v>50000256</v>
      </c>
      <c r="B139" s="34" t="s">
        <v>255</v>
      </c>
      <c r="C139" s="90" t="s">
        <v>256</v>
      </c>
      <c r="D139" s="86">
        <v>180</v>
      </c>
      <c r="E139" s="86">
        <v>4</v>
      </c>
      <c r="F139" s="86">
        <v>7</v>
      </c>
      <c r="G139" s="86">
        <v>9.2</v>
      </c>
      <c r="H139" s="40" t="s">
        <v>15</v>
      </c>
      <c r="I139" s="28" t="s">
        <v>257</v>
      </c>
      <c r="J139" s="10" t="s">
        <v>27</v>
      </c>
    </row>
    <row r="140" spans="1:10">
      <c r="A140" s="1">
        <v>50000031</v>
      </c>
      <c r="B140" s="34" t="s">
        <v>258</v>
      </c>
      <c r="C140" s="34" t="s">
        <v>259</v>
      </c>
      <c r="D140" s="86" t="s">
        <v>260</v>
      </c>
      <c r="E140" s="86">
        <v>4</v>
      </c>
      <c r="F140" s="86">
        <v>7</v>
      </c>
      <c r="G140" s="86">
        <v>8</v>
      </c>
      <c r="H140" s="87" t="s">
        <v>15</v>
      </c>
      <c r="I140" s="28" t="s">
        <v>20</v>
      </c>
      <c r="J140" s="10" t="s">
        <v>27</v>
      </c>
    </row>
    <row r="141" spans="1:10">
      <c r="A141" s="1">
        <v>50000101</v>
      </c>
      <c r="B141" s="34" t="s">
        <v>261</v>
      </c>
      <c r="C141" s="90" t="s">
        <v>262</v>
      </c>
      <c r="D141" s="86">
        <v>179</v>
      </c>
      <c r="E141" s="86">
        <v>2</v>
      </c>
      <c r="F141" s="86">
        <v>5</v>
      </c>
      <c r="G141" s="86">
        <v>8</v>
      </c>
      <c r="H141" s="28" t="s">
        <v>15</v>
      </c>
      <c r="I141" s="28" t="s">
        <v>24</v>
      </c>
      <c r="J141" s="10" t="s">
        <v>27</v>
      </c>
    </row>
    <row r="142" spans="1:10">
      <c r="A142" s="1">
        <v>50000149</v>
      </c>
      <c r="B142" s="34" t="s">
        <v>263</v>
      </c>
      <c r="C142" s="90" t="s">
        <v>264</v>
      </c>
      <c r="D142" s="86">
        <v>164</v>
      </c>
      <c r="E142" s="86">
        <v>4</v>
      </c>
      <c r="F142" s="86">
        <v>8</v>
      </c>
      <c r="G142" s="86">
        <v>10.3</v>
      </c>
      <c r="H142" s="87" t="s">
        <v>15</v>
      </c>
      <c r="I142" s="28" t="s">
        <v>20</v>
      </c>
      <c r="J142" s="10" t="s">
        <v>27</v>
      </c>
    </row>
    <row r="143" spans="1:10">
      <c r="A143" s="1">
        <v>50000198</v>
      </c>
      <c r="B143" s="34" t="s">
        <v>265</v>
      </c>
      <c r="C143" s="34" t="s">
        <v>14</v>
      </c>
      <c r="D143" s="86">
        <v>149</v>
      </c>
      <c r="E143" s="86">
        <v>4</v>
      </c>
      <c r="F143" s="86">
        <v>6</v>
      </c>
      <c r="G143" s="86">
        <v>9.4</v>
      </c>
      <c r="H143" s="28" t="s">
        <v>15</v>
      </c>
      <c r="I143" s="28" t="s">
        <v>24</v>
      </c>
      <c r="J143" s="10" t="s">
        <v>27</v>
      </c>
    </row>
    <row r="144" spans="1:10">
      <c r="A144" s="1">
        <v>50000213</v>
      </c>
      <c r="B144" s="34" t="s">
        <v>266</v>
      </c>
      <c r="C144" s="34" t="s">
        <v>88</v>
      </c>
      <c r="D144" s="86">
        <v>190</v>
      </c>
      <c r="E144" s="86">
        <v>4</v>
      </c>
      <c r="F144" s="86">
        <v>6</v>
      </c>
      <c r="G144" s="86">
        <v>8</v>
      </c>
      <c r="H144" s="28" t="s">
        <v>15</v>
      </c>
      <c r="I144" s="28" t="s">
        <v>24</v>
      </c>
      <c r="J144" s="10" t="s">
        <v>27</v>
      </c>
    </row>
    <row r="145" spans="1:10">
      <c r="A145" s="1">
        <v>50000210</v>
      </c>
      <c r="B145" s="34" t="s">
        <v>267</v>
      </c>
      <c r="C145" s="34" t="s">
        <v>105</v>
      </c>
      <c r="D145" s="86">
        <v>150</v>
      </c>
      <c r="E145" s="86">
        <v>3</v>
      </c>
      <c r="F145" s="86">
        <v>9.4</v>
      </c>
      <c r="G145" s="86">
        <v>10.2</v>
      </c>
      <c r="H145" s="28" t="s">
        <v>15</v>
      </c>
      <c r="I145" s="28" t="s">
        <v>95</v>
      </c>
      <c r="J145" s="10" t="s">
        <v>27</v>
      </c>
    </row>
    <row r="146" spans="1:10">
      <c r="A146" s="1">
        <v>50000113</v>
      </c>
      <c r="B146" s="34" t="s">
        <v>268</v>
      </c>
      <c r="C146" s="34" t="s">
        <v>14</v>
      </c>
      <c r="D146" s="86">
        <v>181</v>
      </c>
      <c r="E146" s="86">
        <v>4</v>
      </c>
      <c r="F146" s="86">
        <v>8</v>
      </c>
      <c r="G146" s="86">
        <v>9.2</v>
      </c>
      <c r="H146" s="87" t="s">
        <v>15</v>
      </c>
      <c r="I146" s="87" t="s">
        <v>36</v>
      </c>
      <c r="J146" s="10" t="s">
        <v>27</v>
      </c>
    </row>
    <row r="147" spans="1:10">
      <c r="A147" s="1">
        <v>50000270</v>
      </c>
      <c r="B147" s="34" t="s">
        <v>269</v>
      </c>
      <c r="C147" s="34" t="s">
        <v>14</v>
      </c>
      <c r="D147" s="86">
        <v>149</v>
      </c>
      <c r="E147" s="86">
        <v>4</v>
      </c>
      <c r="F147" s="86">
        <v>6</v>
      </c>
      <c r="G147" s="86">
        <v>9.2</v>
      </c>
      <c r="H147" s="28" t="s">
        <v>15</v>
      </c>
      <c r="I147" s="28" t="s">
        <v>66</v>
      </c>
      <c r="J147" s="10" t="s">
        <v>27</v>
      </c>
    </row>
    <row r="148" spans="1:10">
      <c r="A148" s="1">
        <v>50000056</v>
      </c>
      <c r="B148" s="34" t="s">
        <v>270</v>
      </c>
      <c r="C148" s="34" t="s">
        <v>23</v>
      </c>
      <c r="D148" s="86">
        <v>152</v>
      </c>
      <c r="E148" s="86">
        <v>7</v>
      </c>
      <c r="F148" s="86">
        <v>8</v>
      </c>
      <c r="G148" s="86">
        <v>9.8</v>
      </c>
      <c r="H148" s="87" t="s">
        <v>15</v>
      </c>
      <c r="I148" s="28" t="s">
        <v>20</v>
      </c>
      <c r="J148" s="10" t="s">
        <v>27</v>
      </c>
    </row>
    <row r="149" spans="1:10">
      <c r="A149" s="1">
        <v>50000236</v>
      </c>
      <c r="B149" s="34" t="s">
        <v>271</v>
      </c>
      <c r="C149" s="90" t="s">
        <v>272</v>
      </c>
      <c r="D149" s="86">
        <v>150</v>
      </c>
      <c r="E149" s="86">
        <v>3</v>
      </c>
      <c r="F149" s="86">
        <v>6</v>
      </c>
      <c r="G149" s="86">
        <v>9.4</v>
      </c>
      <c r="H149" s="28" t="s">
        <v>15</v>
      </c>
      <c r="I149" s="28" t="s">
        <v>24</v>
      </c>
      <c r="J149" s="10" t="s">
        <v>27</v>
      </c>
    </row>
    <row r="150" spans="1:10">
      <c r="A150" s="1">
        <v>50000269</v>
      </c>
      <c r="B150" s="34" t="s">
        <v>273</v>
      </c>
      <c r="C150" s="34" t="s">
        <v>35</v>
      </c>
      <c r="D150" s="86">
        <v>177</v>
      </c>
      <c r="E150" s="86">
        <v>3</v>
      </c>
      <c r="F150" s="86">
        <v>8</v>
      </c>
      <c r="G150" s="86">
        <v>10.1</v>
      </c>
      <c r="H150" s="87" t="s">
        <v>15</v>
      </c>
      <c r="I150" s="28" t="s">
        <v>20</v>
      </c>
      <c r="J150" s="10" t="s">
        <v>27</v>
      </c>
    </row>
    <row r="151" spans="1:10">
      <c r="A151" s="1">
        <v>50000081</v>
      </c>
      <c r="B151" s="34" t="s">
        <v>274</v>
      </c>
      <c r="C151" s="34" t="s">
        <v>117</v>
      </c>
      <c r="D151" s="86">
        <v>196</v>
      </c>
      <c r="E151" s="86">
        <v>3</v>
      </c>
      <c r="F151" s="86">
        <v>7</v>
      </c>
      <c r="G151" s="86">
        <v>8</v>
      </c>
      <c r="H151" s="87" t="s">
        <v>15</v>
      </c>
      <c r="I151" s="87" t="s">
        <v>57</v>
      </c>
      <c r="J151" s="10" t="s">
        <v>27</v>
      </c>
    </row>
    <row r="152" spans="1:10">
      <c r="A152" s="1">
        <v>50000174</v>
      </c>
      <c r="B152" s="34" t="s">
        <v>275</v>
      </c>
      <c r="C152" s="34" t="s">
        <v>276</v>
      </c>
      <c r="D152" s="86">
        <v>188</v>
      </c>
      <c r="E152" s="86">
        <v>4</v>
      </c>
      <c r="F152" s="86">
        <v>6</v>
      </c>
      <c r="G152" s="86">
        <v>9.3</v>
      </c>
      <c r="H152" s="40" t="s">
        <v>15</v>
      </c>
      <c r="I152" s="28" t="s">
        <v>257</v>
      </c>
      <c r="J152" s="10" t="s">
        <v>27</v>
      </c>
    </row>
    <row r="153" spans="1:10">
      <c r="A153" s="1">
        <v>50000100</v>
      </c>
      <c r="B153" s="34" t="s">
        <v>277</v>
      </c>
      <c r="C153" s="34" t="s">
        <v>278</v>
      </c>
      <c r="D153" s="86" t="s">
        <v>279</v>
      </c>
      <c r="E153" s="86">
        <v>6</v>
      </c>
      <c r="F153" s="86">
        <v>9.5</v>
      </c>
      <c r="G153" s="86">
        <v>10.7</v>
      </c>
      <c r="H153" s="28" t="s">
        <v>15</v>
      </c>
      <c r="I153" s="28" t="s">
        <v>66</v>
      </c>
      <c r="J153" s="10" t="s">
        <v>27</v>
      </c>
    </row>
    <row r="154" spans="1:10">
      <c r="A154" s="1">
        <v>50000156</v>
      </c>
      <c r="B154" s="34" t="s">
        <v>280</v>
      </c>
      <c r="C154" s="34" t="s">
        <v>63</v>
      </c>
      <c r="D154" s="86">
        <v>135</v>
      </c>
      <c r="E154" s="86">
        <v>3</v>
      </c>
      <c r="F154" s="86">
        <v>7</v>
      </c>
      <c r="G154" s="86">
        <v>9.6</v>
      </c>
      <c r="H154" s="87" t="s">
        <v>15</v>
      </c>
      <c r="I154" s="87" t="s">
        <v>36</v>
      </c>
      <c r="J154" s="10" t="s">
        <v>27</v>
      </c>
    </row>
    <row r="155" spans="1:10">
      <c r="A155" s="1">
        <v>50000073</v>
      </c>
      <c r="B155" s="34" t="s">
        <v>281</v>
      </c>
      <c r="C155" s="34" t="s">
        <v>88</v>
      </c>
      <c r="D155" s="86">
        <v>150</v>
      </c>
      <c r="E155" s="86">
        <v>4</v>
      </c>
      <c r="F155" s="86">
        <v>7</v>
      </c>
      <c r="G155" s="86">
        <v>9.7</v>
      </c>
      <c r="H155" s="28" t="s">
        <v>15</v>
      </c>
      <c r="I155" s="28" t="s">
        <v>24</v>
      </c>
      <c r="J155" s="10" t="s">
        <v>27</v>
      </c>
    </row>
    <row r="156" spans="1:10">
      <c r="A156" s="1">
        <v>50000021</v>
      </c>
      <c r="B156" s="34" t="s">
        <v>282</v>
      </c>
      <c r="C156" s="34" t="s">
        <v>65</v>
      </c>
      <c r="D156" s="86">
        <v>190</v>
      </c>
      <c r="E156" s="86">
        <v>5</v>
      </c>
      <c r="F156" s="86">
        <v>6</v>
      </c>
      <c r="G156" s="86">
        <v>9.2</v>
      </c>
      <c r="H156" s="28" t="s">
        <v>15</v>
      </c>
      <c r="I156" s="28" t="s">
        <v>24</v>
      </c>
      <c r="J156" s="10" t="s">
        <v>27</v>
      </c>
    </row>
    <row r="157" spans="1:10">
      <c r="A157" s="1">
        <v>50000258</v>
      </c>
      <c r="B157" s="34" t="s">
        <v>283</v>
      </c>
      <c r="C157" s="90" t="s">
        <v>284</v>
      </c>
      <c r="D157" s="86">
        <v>173</v>
      </c>
      <c r="E157" s="86">
        <v>4</v>
      </c>
      <c r="F157" s="86">
        <v>7</v>
      </c>
      <c r="G157" s="86">
        <v>10.3</v>
      </c>
      <c r="J157" s="10" t="s">
        <v>27</v>
      </c>
    </row>
    <row r="158" spans="1:10">
      <c r="A158" s="1">
        <v>50000208</v>
      </c>
      <c r="B158" s="34" t="s">
        <v>285</v>
      </c>
      <c r="C158" s="34" t="s">
        <v>53</v>
      </c>
      <c r="D158" s="86">
        <v>200</v>
      </c>
      <c r="E158" s="86">
        <v>6</v>
      </c>
      <c r="F158" s="86">
        <v>9.5</v>
      </c>
      <c r="G158" s="86">
        <v>10.8</v>
      </c>
      <c r="H158" s="87" t="s">
        <v>15</v>
      </c>
      <c r="I158" s="87" t="s">
        <v>49</v>
      </c>
      <c r="J158" s="10" t="s">
        <v>27</v>
      </c>
    </row>
    <row r="159" spans="1:10">
      <c r="A159" s="1">
        <v>50000254</v>
      </c>
      <c r="B159" s="34" t="s">
        <v>286</v>
      </c>
      <c r="C159" s="34" t="s">
        <v>287</v>
      </c>
      <c r="D159" s="86" t="s">
        <v>288</v>
      </c>
      <c r="E159" s="86">
        <v>3</v>
      </c>
      <c r="F159" s="86">
        <v>7</v>
      </c>
      <c r="G159" s="86">
        <v>9.8</v>
      </c>
      <c r="H159" s="28" t="s">
        <v>15</v>
      </c>
      <c r="I159" s="28" t="s">
        <v>289</v>
      </c>
      <c r="J159" s="10" t="s">
        <v>27</v>
      </c>
    </row>
    <row r="160" spans="1:10">
      <c r="A160" s="1">
        <v>50000189</v>
      </c>
      <c r="B160" s="34" t="s">
        <v>290</v>
      </c>
      <c r="C160" s="90" t="s">
        <v>291</v>
      </c>
      <c r="D160" s="86">
        <v>182</v>
      </c>
      <c r="E160" s="86">
        <v>2</v>
      </c>
      <c r="F160" s="86">
        <v>5</v>
      </c>
      <c r="G160" s="86">
        <v>8</v>
      </c>
      <c r="H160" s="28" t="s">
        <v>15</v>
      </c>
      <c r="I160" s="28" t="s">
        <v>24</v>
      </c>
      <c r="J160" s="10" t="s">
        <v>27</v>
      </c>
    </row>
    <row r="161" spans="1:10">
      <c r="A161" s="1">
        <v>50000137</v>
      </c>
      <c r="B161" s="34" t="s">
        <v>292</v>
      </c>
      <c r="C161" s="90" t="s">
        <v>293</v>
      </c>
      <c r="D161" s="86" t="s">
        <v>294</v>
      </c>
      <c r="E161" s="86">
        <v>3</v>
      </c>
      <c r="F161" s="86">
        <v>8</v>
      </c>
      <c r="G161" s="86">
        <v>9.6</v>
      </c>
      <c r="H161" s="28" t="s">
        <v>15</v>
      </c>
      <c r="I161" s="28" t="s">
        <v>24</v>
      </c>
      <c r="J161" s="10" t="s">
        <v>27</v>
      </c>
    </row>
    <row r="162" spans="1:10">
      <c r="A162" s="1">
        <v>50000141</v>
      </c>
      <c r="B162" s="34" t="s">
        <v>295</v>
      </c>
      <c r="C162" s="90" t="s">
        <v>296</v>
      </c>
      <c r="D162" s="86">
        <v>160</v>
      </c>
      <c r="E162" s="86">
        <v>3</v>
      </c>
      <c r="F162" s="86">
        <v>8</v>
      </c>
      <c r="G162" s="86">
        <v>9.7</v>
      </c>
      <c r="H162" s="28" t="s">
        <v>15</v>
      </c>
      <c r="I162" s="28" t="s">
        <v>45</v>
      </c>
      <c r="J162" s="10" t="s">
        <v>27</v>
      </c>
    </row>
    <row r="163" spans="1:10">
      <c r="A163" s="1">
        <v>50000195</v>
      </c>
      <c r="B163" s="34" t="s">
        <v>297</v>
      </c>
      <c r="C163" s="34" t="s">
        <v>298</v>
      </c>
      <c r="D163" s="86">
        <v>200</v>
      </c>
      <c r="E163" s="86">
        <v>4</v>
      </c>
      <c r="F163" s="86">
        <v>9.2</v>
      </c>
      <c r="G163" s="86">
        <v>9.8</v>
      </c>
      <c r="H163" s="87" t="s">
        <v>15</v>
      </c>
      <c r="I163" s="87" t="s">
        <v>16</v>
      </c>
      <c r="J163" s="10" t="s">
        <v>27</v>
      </c>
    </row>
    <row r="164" spans="1:10">
      <c r="A164" s="1">
        <v>50000078</v>
      </c>
      <c r="B164" s="34" t="s">
        <v>299</v>
      </c>
      <c r="C164" s="90" t="s">
        <v>179</v>
      </c>
      <c r="D164" s="86">
        <v>164</v>
      </c>
      <c r="E164" s="86">
        <v>4</v>
      </c>
      <c r="F164" s="86">
        <v>9.7</v>
      </c>
      <c r="G164" s="86">
        <v>10.2</v>
      </c>
      <c r="H164" s="87" t="s">
        <v>15</v>
      </c>
      <c r="I164" s="87" t="s">
        <v>57</v>
      </c>
      <c r="J164" s="10" t="s">
        <v>27</v>
      </c>
    </row>
    <row r="165" spans="1:10">
      <c r="A165" s="1">
        <v>50000202</v>
      </c>
      <c r="B165" s="34" t="s">
        <v>300</v>
      </c>
      <c r="C165" s="34" t="s">
        <v>103</v>
      </c>
      <c r="D165" s="86">
        <v>190</v>
      </c>
      <c r="E165" s="86">
        <v>4</v>
      </c>
      <c r="F165" s="86">
        <v>8</v>
      </c>
      <c r="G165" s="86">
        <v>10.4</v>
      </c>
      <c r="H165" s="28" t="s">
        <v>15</v>
      </c>
      <c r="I165" s="28" t="s">
        <v>24</v>
      </c>
      <c r="J165" s="10" t="s">
        <v>27</v>
      </c>
    </row>
    <row r="166" spans="1:10">
      <c r="A166" s="1">
        <v>50000057</v>
      </c>
      <c r="B166" s="34" t="s">
        <v>301</v>
      </c>
      <c r="C166" s="90" t="s">
        <v>302</v>
      </c>
      <c r="D166" s="86">
        <v>188</v>
      </c>
      <c r="E166" s="86">
        <v>4</v>
      </c>
      <c r="F166" s="86">
        <v>6</v>
      </c>
      <c r="G166" s="86">
        <v>8</v>
      </c>
      <c r="H166" s="28" t="s">
        <v>15</v>
      </c>
      <c r="I166" s="28" t="s">
        <v>45</v>
      </c>
      <c r="J166" s="10" t="s">
        <v>27</v>
      </c>
    </row>
    <row r="167" spans="1:10">
      <c r="A167" s="1">
        <v>50000123</v>
      </c>
      <c r="B167" s="34" t="s">
        <v>303</v>
      </c>
      <c r="C167" s="34" t="s">
        <v>23</v>
      </c>
      <c r="D167" s="86">
        <v>185</v>
      </c>
      <c r="E167" s="86">
        <v>4</v>
      </c>
      <c r="F167" s="86">
        <v>8</v>
      </c>
      <c r="G167" s="86">
        <v>10.4</v>
      </c>
      <c r="H167" s="87" t="s">
        <v>15</v>
      </c>
      <c r="I167" s="87" t="s">
        <v>49</v>
      </c>
      <c r="J167" s="10" t="s">
        <v>27</v>
      </c>
    </row>
    <row r="168" spans="1:10">
      <c r="A168" s="1">
        <v>50000043</v>
      </c>
      <c r="B168" s="34" t="s">
        <v>304</v>
      </c>
      <c r="C168" s="34" t="s">
        <v>305</v>
      </c>
      <c r="D168" s="86" t="s">
        <v>306</v>
      </c>
      <c r="E168" s="86">
        <v>4</v>
      </c>
      <c r="F168" s="86">
        <v>7</v>
      </c>
      <c r="G168" s="86">
        <v>9.6</v>
      </c>
      <c r="H168" s="28" t="s">
        <v>15</v>
      </c>
      <c r="I168" s="28" t="s">
        <v>95</v>
      </c>
      <c r="J168" s="10" t="s">
        <v>27</v>
      </c>
    </row>
    <row r="169" spans="1:10">
      <c r="A169" s="1">
        <v>50000206</v>
      </c>
      <c r="B169" s="34" t="s">
        <v>307</v>
      </c>
      <c r="C169" s="34" t="s">
        <v>14</v>
      </c>
      <c r="D169" s="86">
        <v>185</v>
      </c>
      <c r="E169" s="86">
        <v>5</v>
      </c>
      <c r="F169" s="86">
        <v>8</v>
      </c>
      <c r="G169" s="86">
        <v>10.4</v>
      </c>
      <c r="H169" s="87" t="s">
        <v>15</v>
      </c>
      <c r="I169" s="87" t="s">
        <v>36</v>
      </c>
      <c r="J169" s="10" t="s">
        <v>27</v>
      </c>
    </row>
    <row r="170" spans="1:10">
      <c r="A170" s="1">
        <v>50000182</v>
      </c>
      <c r="B170" s="34" t="s">
        <v>308</v>
      </c>
      <c r="C170" s="34" t="s">
        <v>183</v>
      </c>
      <c r="D170" s="86">
        <v>180</v>
      </c>
      <c r="E170" s="86">
        <v>3</v>
      </c>
      <c r="F170" s="86">
        <v>7</v>
      </c>
      <c r="G170" s="86">
        <v>9.1</v>
      </c>
      <c r="H170" s="87" t="s">
        <v>15</v>
      </c>
      <c r="I170" s="87" t="s">
        <v>57</v>
      </c>
      <c r="J170" s="10" t="s">
        <v>27</v>
      </c>
    </row>
    <row r="171" spans="1:10">
      <c r="A171" s="1">
        <v>50000132</v>
      </c>
      <c r="B171" s="34" t="s">
        <v>309</v>
      </c>
      <c r="C171" s="90" t="s">
        <v>177</v>
      </c>
      <c r="D171" s="86">
        <v>157</v>
      </c>
      <c r="E171" s="86">
        <v>2</v>
      </c>
      <c r="F171" s="86">
        <v>7</v>
      </c>
      <c r="G171" s="86">
        <v>9.3</v>
      </c>
      <c r="H171" s="87" t="s">
        <v>15</v>
      </c>
      <c r="I171" s="87" t="s">
        <v>16</v>
      </c>
      <c r="J171" s="10" t="s">
        <v>27</v>
      </c>
    </row>
    <row r="172" spans="1:10">
      <c r="A172" s="1">
        <v>50000239</v>
      </c>
      <c r="B172" s="34" t="s">
        <v>310</v>
      </c>
      <c r="C172" s="34" t="s">
        <v>311</v>
      </c>
      <c r="D172" s="86">
        <v>190</v>
      </c>
      <c r="E172" s="86">
        <v>4</v>
      </c>
      <c r="F172" s="86">
        <v>8</v>
      </c>
      <c r="G172" s="86">
        <v>9.6</v>
      </c>
      <c r="H172" s="28" t="s">
        <v>15</v>
      </c>
      <c r="I172" s="28" t="s">
        <v>24</v>
      </c>
      <c r="J172" s="10" t="s">
        <v>27</v>
      </c>
    </row>
    <row r="173" spans="1:10">
      <c r="A173" s="1">
        <v>50000129</v>
      </c>
      <c r="B173" s="34" t="s">
        <v>312</v>
      </c>
      <c r="C173" s="34" t="s">
        <v>313</v>
      </c>
      <c r="D173" s="86">
        <v>154</v>
      </c>
      <c r="E173" s="86">
        <v>4</v>
      </c>
      <c r="F173" s="86">
        <v>8</v>
      </c>
      <c r="G173" s="86">
        <v>10.5</v>
      </c>
      <c r="H173" s="28" t="s">
        <v>15</v>
      </c>
      <c r="I173" s="28" t="s">
        <v>45</v>
      </c>
      <c r="J173" s="10" t="s">
        <v>27</v>
      </c>
    </row>
    <row r="174" spans="1:10">
      <c r="A174" s="1">
        <v>50000023</v>
      </c>
      <c r="B174" s="34" t="s">
        <v>314</v>
      </c>
      <c r="C174" s="34" t="s">
        <v>315</v>
      </c>
      <c r="D174" s="86">
        <v>173</v>
      </c>
      <c r="E174" s="86">
        <v>6</v>
      </c>
      <c r="F174" s="86">
        <v>9.5</v>
      </c>
      <c r="G174" s="86">
        <v>10.5</v>
      </c>
      <c r="H174" s="28" t="s">
        <v>15</v>
      </c>
      <c r="I174" s="28" t="s">
        <v>24</v>
      </c>
      <c r="J174" s="10" t="s">
        <v>27</v>
      </c>
    </row>
    <row r="175" spans="1:10">
      <c r="A175" s="1">
        <v>50000204</v>
      </c>
      <c r="B175" s="34" t="s">
        <v>316</v>
      </c>
      <c r="C175" s="34" t="s">
        <v>156</v>
      </c>
      <c r="D175" s="86">
        <v>170</v>
      </c>
      <c r="E175" s="86">
        <v>3</v>
      </c>
      <c r="F175" s="86">
        <v>5</v>
      </c>
      <c r="G175" s="86">
        <v>9.5</v>
      </c>
      <c r="H175" s="87" t="s">
        <v>15</v>
      </c>
      <c r="I175" s="87" t="s">
        <v>49</v>
      </c>
      <c r="J175" s="10" t="s">
        <v>27</v>
      </c>
    </row>
    <row r="176" spans="1:10">
      <c r="A176" s="1">
        <v>50000139</v>
      </c>
      <c r="B176" s="34" t="s">
        <v>317</v>
      </c>
      <c r="C176" s="90" t="s">
        <v>318</v>
      </c>
      <c r="D176" s="86">
        <v>190</v>
      </c>
      <c r="E176" s="86">
        <v>3</v>
      </c>
      <c r="F176" s="86">
        <v>7</v>
      </c>
      <c r="G176" s="86">
        <v>10.1</v>
      </c>
      <c r="H176" s="28" t="s">
        <v>15</v>
      </c>
      <c r="I176" s="28" t="s">
        <v>24</v>
      </c>
      <c r="J176" s="10" t="s">
        <v>27</v>
      </c>
    </row>
    <row r="177" spans="1:10">
      <c r="A177" s="1">
        <v>50000214</v>
      </c>
      <c r="B177" s="34" t="s">
        <v>319</v>
      </c>
      <c r="C177" s="90" t="s">
        <v>320</v>
      </c>
      <c r="D177" s="86">
        <v>152</v>
      </c>
      <c r="E177" s="86">
        <v>3</v>
      </c>
      <c r="F177" s="86">
        <v>5</v>
      </c>
      <c r="G177" s="86">
        <v>8</v>
      </c>
      <c r="H177" s="87" t="s">
        <v>15</v>
      </c>
      <c r="I177" s="87" t="s">
        <v>16</v>
      </c>
      <c r="J177" s="10" t="s">
        <v>27</v>
      </c>
    </row>
    <row r="178" spans="1:10">
      <c r="A178" s="1">
        <v>50000178</v>
      </c>
      <c r="B178" s="34" t="s">
        <v>321</v>
      </c>
      <c r="C178" s="90" t="s">
        <v>322</v>
      </c>
      <c r="D178" s="86">
        <v>135</v>
      </c>
      <c r="E178" s="86">
        <v>4</v>
      </c>
      <c r="F178" s="86">
        <v>7</v>
      </c>
      <c r="G178" s="86">
        <v>9</v>
      </c>
      <c r="H178" s="28" t="s">
        <v>15</v>
      </c>
      <c r="I178" s="28" t="s">
        <v>24</v>
      </c>
      <c r="J178" s="10" t="s">
        <v>27</v>
      </c>
    </row>
    <row r="179" spans="1:10">
      <c r="A179" s="1">
        <v>50000058</v>
      </c>
      <c r="B179" s="34" t="s">
        <v>323</v>
      </c>
      <c r="C179" s="34" t="s">
        <v>324</v>
      </c>
      <c r="D179" s="86">
        <v>176</v>
      </c>
      <c r="E179" s="86">
        <v>5</v>
      </c>
      <c r="F179" s="86">
        <v>8</v>
      </c>
      <c r="G179" s="86">
        <v>9.5</v>
      </c>
      <c r="J179" s="10" t="s">
        <v>27</v>
      </c>
    </row>
    <row r="180" spans="1:10">
      <c r="A180" s="1">
        <v>50000121</v>
      </c>
      <c r="B180" s="34" t="s">
        <v>325</v>
      </c>
      <c r="C180" s="90" t="s">
        <v>326</v>
      </c>
      <c r="D180" s="86">
        <v>165</v>
      </c>
      <c r="E180" s="86">
        <v>4</v>
      </c>
      <c r="F180" s="86">
        <v>7</v>
      </c>
      <c r="G180" s="86">
        <v>9.4</v>
      </c>
      <c r="H180" s="87" t="s">
        <v>15</v>
      </c>
      <c r="I180" s="87" t="s">
        <v>57</v>
      </c>
      <c r="J180" s="10" t="s">
        <v>27</v>
      </c>
    </row>
    <row r="181" spans="1:10">
      <c r="A181" s="1">
        <v>50000171</v>
      </c>
      <c r="B181" s="34" t="s">
        <v>327</v>
      </c>
      <c r="C181" s="34" t="s">
        <v>90</v>
      </c>
      <c r="D181" s="86">
        <v>111</v>
      </c>
      <c r="E181" s="86">
        <v>3</v>
      </c>
      <c r="F181" s="86">
        <v>6</v>
      </c>
      <c r="G181" s="86">
        <v>8</v>
      </c>
      <c r="H181" s="28" t="s">
        <v>15</v>
      </c>
      <c r="I181" s="28" t="s">
        <v>24</v>
      </c>
      <c r="J181" s="10" t="s">
        <v>27</v>
      </c>
    </row>
    <row r="182" spans="1:10">
      <c r="A182" s="1">
        <v>50000128</v>
      </c>
      <c r="B182" s="34" t="s">
        <v>328</v>
      </c>
      <c r="C182" s="34" t="s">
        <v>329</v>
      </c>
      <c r="D182" s="86">
        <v>180</v>
      </c>
      <c r="E182" s="86">
        <v>3</v>
      </c>
      <c r="F182" s="86">
        <v>6</v>
      </c>
      <c r="G182" s="86">
        <v>8</v>
      </c>
      <c r="H182" s="28" t="s">
        <v>15</v>
      </c>
      <c r="I182" s="28" t="s">
        <v>24</v>
      </c>
      <c r="J182" s="10" t="s">
        <v>27</v>
      </c>
    </row>
    <row r="183" spans="1:10">
      <c r="A183" s="1">
        <v>50000237</v>
      </c>
      <c r="B183" s="34" t="s">
        <v>330</v>
      </c>
      <c r="C183" s="90" t="s">
        <v>331</v>
      </c>
      <c r="D183" s="86">
        <v>146</v>
      </c>
      <c r="E183" s="86">
        <v>2</v>
      </c>
      <c r="F183" s="86">
        <v>5</v>
      </c>
      <c r="G183" s="86">
        <v>7</v>
      </c>
      <c r="H183" s="87" t="s">
        <v>15</v>
      </c>
      <c r="I183" s="87" t="s">
        <v>36</v>
      </c>
      <c r="J183" s="10" t="s">
        <v>27</v>
      </c>
    </row>
    <row r="184" spans="1:10">
      <c r="A184" s="1">
        <v>50000259</v>
      </c>
      <c r="B184" s="34" t="s">
        <v>332</v>
      </c>
      <c r="C184" s="34" t="s">
        <v>333</v>
      </c>
      <c r="D184" s="86">
        <v>145</v>
      </c>
      <c r="E184" s="86">
        <v>4</v>
      </c>
      <c r="F184" s="86">
        <v>6</v>
      </c>
      <c r="G184" s="86">
        <v>9.6</v>
      </c>
      <c r="J184" s="10" t="s">
        <v>27</v>
      </c>
    </row>
    <row r="185" spans="1:10">
      <c r="A185" s="1">
        <v>50000096</v>
      </c>
      <c r="B185" s="34" t="s">
        <v>334</v>
      </c>
      <c r="C185" s="90" t="s">
        <v>335</v>
      </c>
      <c r="D185" s="86">
        <v>185</v>
      </c>
      <c r="E185" s="86">
        <v>3</v>
      </c>
      <c r="F185" s="86">
        <v>7</v>
      </c>
      <c r="G185" s="86">
        <v>9.1</v>
      </c>
      <c r="H185" s="28" t="s">
        <v>15</v>
      </c>
      <c r="I185" s="28" t="s">
        <v>24</v>
      </c>
      <c r="J185" s="10" t="s">
        <v>27</v>
      </c>
    </row>
    <row r="186" spans="1:10">
      <c r="A186" s="1">
        <v>50000109</v>
      </c>
      <c r="B186" s="34" t="s">
        <v>336</v>
      </c>
      <c r="C186" s="34" t="s">
        <v>337</v>
      </c>
      <c r="D186" s="86">
        <v>155</v>
      </c>
      <c r="E186" s="86">
        <v>2</v>
      </c>
      <c r="F186" s="86">
        <v>6</v>
      </c>
      <c r="G186" s="86">
        <v>8</v>
      </c>
      <c r="H186" s="28" t="s">
        <v>15</v>
      </c>
      <c r="I186" s="28" t="s">
        <v>24</v>
      </c>
      <c r="J186" s="10" t="s">
        <v>27</v>
      </c>
    </row>
    <row r="187" spans="1:10">
      <c r="A187" s="1">
        <v>50000024</v>
      </c>
      <c r="B187" s="34" t="s">
        <v>338</v>
      </c>
      <c r="C187" s="34" t="s">
        <v>72</v>
      </c>
      <c r="D187" s="86">
        <v>180</v>
      </c>
      <c r="E187" s="86">
        <v>3</v>
      </c>
      <c r="F187" s="86">
        <v>5</v>
      </c>
      <c r="G187" s="86">
        <v>9.1</v>
      </c>
      <c r="H187" s="28" t="s">
        <v>15</v>
      </c>
      <c r="I187" s="28" t="s">
        <v>45</v>
      </c>
      <c r="J187" s="10" t="s">
        <v>27</v>
      </c>
    </row>
    <row r="188" spans="1:10">
      <c r="A188" s="1">
        <v>50000235</v>
      </c>
      <c r="B188" s="34" t="s">
        <v>339</v>
      </c>
      <c r="C188" s="34" t="s">
        <v>340</v>
      </c>
      <c r="D188" s="86">
        <v>155</v>
      </c>
      <c r="E188" s="86">
        <v>4</v>
      </c>
      <c r="F188" s="86">
        <v>6</v>
      </c>
      <c r="G188" s="86">
        <v>8</v>
      </c>
      <c r="H188" s="87" t="s">
        <v>15</v>
      </c>
      <c r="I188" s="28" t="s">
        <v>24</v>
      </c>
      <c r="J188" s="10" t="s">
        <v>27</v>
      </c>
    </row>
    <row r="189" spans="1:10">
      <c r="A189" s="1">
        <v>50000238</v>
      </c>
      <c r="B189" s="34" t="s">
        <v>341</v>
      </c>
      <c r="C189" s="34" t="s">
        <v>342</v>
      </c>
      <c r="D189" s="86">
        <v>190</v>
      </c>
      <c r="E189" s="86">
        <v>3</v>
      </c>
      <c r="F189" s="86">
        <v>6</v>
      </c>
      <c r="G189" s="86">
        <v>8</v>
      </c>
      <c r="H189" s="28" t="s">
        <v>15</v>
      </c>
      <c r="I189" s="28" t="s">
        <v>24</v>
      </c>
      <c r="J189" s="10" t="s">
        <v>27</v>
      </c>
    </row>
    <row r="190" spans="1:10">
      <c r="A190" s="1">
        <v>50000255</v>
      </c>
      <c r="B190" s="34" t="s">
        <v>343</v>
      </c>
      <c r="C190" s="90" t="s">
        <v>344</v>
      </c>
      <c r="D190" s="86">
        <v>180</v>
      </c>
      <c r="E190" s="86">
        <v>3</v>
      </c>
      <c r="F190" s="86">
        <v>7</v>
      </c>
      <c r="G190" s="86">
        <v>9.2</v>
      </c>
      <c r="J190" s="10" t="s">
        <v>27</v>
      </c>
    </row>
    <row r="191" spans="1:10">
      <c r="A191" s="1">
        <v>50000172</v>
      </c>
      <c r="B191" s="34" t="s">
        <v>345</v>
      </c>
      <c r="C191" s="90" t="s">
        <v>346</v>
      </c>
      <c r="D191" s="86">
        <v>182</v>
      </c>
      <c r="E191" s="86">
        <v>3</v>
      </c>
      <c r="F191" s="86">
        <v>6</v>
      </c>
      <c r="G191" s="86">
        <v>8</v>
      </c>
      <c r="H191" s="28" t="s">
        <v>15</v>
      </c>
      <c r="I191" s="28" t="s">
        <v>24</v>
      </c>
      <c r="J191" s="10" t="s">
        <v>27</v>
      </c>
    </row>
    <row r="192" spans="1:10">
      <c r="A192" s="1">
        <v>50000125</v>
      </c>
      <c r="B192" s="34" t="s">
        <v>347</v>
      </c>
      <c r="C192" s="90" t="s">
        <v>348</v>
      </c>
      <c r="D192" s="86">
        <v>192</v>
      </c>
      <c r="E192" s="86">
        <v>6</v>
      </c>
      <c r="F192" s="86">
        <v>8</v>
      </c>
      <c r="G192" s="86">
        <v>10.5</v>
      </c>
      <c r="H192" s="87" t="s">
        <v>15</v>
      </c>
      <c r="I192" s="28" t="s">
        <v>349</v>
      </c>
      <c r="J192" s="10" t="s">
        <v>27</v>
      </c>
    </row>
    <row r="193" spans="1:10">
      <c r="A193" s="1">
        <v>50000080</v>
      </c>
      <c r="B193" s="34" t="s">
        <v>350</v>
      </c>
      <c r="C193" s="34" t="s">
        <v>126</v>
      </c>
      <c r="D193" s="86">
        <v>176</v>
      </c>
      <c r="E193" s="86">
        <v>2</v>
      </c>
      <c r="F193" s="86">
        <v>5</v>
      </c>
      <c r="G193" s="86">
        <v>8</v>
      </c>
      <c r="H193" s="87" t="s">
        <v>15</v>
      </c>
      <c r="I193" s="87" t="s">
        <v>57</v>
      </c>
      <c r="J193" s="10" t="s">
        <v>27</v>
      </c>
    </row>
    <row r="194" spans="1:10">
      <c r="A194" s="1">
        <v>50000140</v>
      </c>
      <c r="B194" s="34" t="s">
        <v>351</v>
      </c>
      <c r="C194" s="90" t="s">
        <v>352</v>
      </c>
      <c r="D194" s="86">
        <v>200</v>
      </c>
      <c r="E194" s="86">
        <v>3</v>
      </c>
      <c r="F194" s="86">
        <v>7</v>
      </c>
      <c r="G194" s="86">
        <v>8</v>
      </c>
      <c r="H194" s="28" t="s">
        <v>15</v>
      </c>
      <c r="I194" s="28" t="s">
        <v>24</v>
      </c>
      <c r="J194" s="10" t="s">
        <v>27</v>
      </c>
    </row>
    <row r="195" spans="1:10">
      <c r="A195" s="1">
        <v>50000107</v>
      </c>
      <c r="B195" s="34" t="s">
        <v>353</v>
      </c>
      <c r="C195" s="34" t="s">
        <v>354</v>
      </c>
      <c r="D195" s="86">
        <v>195</v>
      </c>
      <c r="E195" s="86">
        <v>4</v>
      </c>
      <c r="F195" s="86">
        <v>8</v>
      </c>
      <c r="G195" s="86">
        <v>10.5</v>
      </c>
      <c r="H195" s="28" t="s">
        <v>15</v>
      </c>
      <c r="I195" s="28" t="s">
        <v>24</v>
      </c>
      <c r="J195" s="10" t="s">
        <v>27</v>
      </c>
    </row>
    <row r="196" spans="1:10">
      <c r="A196" s="1">
        <v>50000177</v>
      </c>
      <c r="B196" s="34" t="s">
        <v>355</v>
      </c>
      <c r="C196" s="34" t="s">
        <v>356</v>
      </c>
      <c r="D196" s="86">
        <v>150</v>
      </c>
      <c r="E196" s="86">
        <v>3</v>
      </c>
      <c r="F196" s="86">
        <v>6</v>
      </c>
      <c r="G196" s="86">
        <v>9.1</v>
      </c>
      <c r="H196" s="28" t="s">
        <v>15</v>
      </c>
      <c r="I196" s="28" t="s">
        <v>24</v>
      </c>
      <c r="J196" s="10" t="s">
        <v>27</v>
      </c>
    </row>
    <row r="197" spans="1:10">
      <c r="A197" s="1">
        <v>50000261</v>
      </c>
      <c r="B197" s="34" t="s">
        <v>357</v>
      </c>
      <c r="C197" s="90" t="s">
        <v>358</v>
      </c>
      <c r="D197" s="86">
        <v>180</v>
      </c>
      <c r="E197" s="86">
        <v>3</v>
      </c>
      <c r="F197" s="86">
        <v>7</v>
      </c>
      <c r="G197" s="86">
        <v>10</v>
      </c>
      <c r="H197" s="91" t="s">
        <v>15</v>
      </c>
      <c r="I197" s="28" t="s">
        <v>359</v>
      </c>
      <c r="J197" s="10" t="s">
        <v>27</v>
      </c>
    </row>
    <row r="198" spans="1:10">
      <c r="A198" s="1">
        <v>50000138</v>
      </c>
      <c r="B198" s="34" t="s">
        <v>360</v>
      </c>
      <c r="C198" s="90" t="s">
        <v>361</v>
      </c>
      <c r="D198" s="86">
        <v>170</v>
      </c>
      <c r="E198" s="86">
        <v>4</v>
      </c>
      <c r="F198" s="86">
        <v>6</v>
      </c>
      <c r="G198" s="86">
        <v>8</v>
      </c>
      <c r="J198" s="10" t="s">
        <v>27</v>
      </c>
    </row>
    <row r="199" spans="1:10">
      <c r="A199" s="1">
        <v>50000093</v>
      </c>
      <c r="B199" s="34" t="s">
        <v>362</v>
      </c>
      <c r="C199" s="90" t="s">
        <v>363</v>
      </c>
      <c r="D199" s="86">
        <v>155</v>
      </c>
      <c r="E199" s="86">
        <v>3</v>
      </c>
      <c r="F199" s="86">
        <v>6</v>
      </c>
      <c r="G199" s="86">
        <v>9.4</v>
      </c>
      <c r="H199" s="87" t="s">
        <v>15</v>
      </c>
      <c r="I199" s="28" t="s">
        <v>20</v>
      </c>
      <c r="J199" s="10" t="s">
        <v>27</v>
      </c>
    </row>
    <row r="200" spans="1:10">
      <c r="A200" s="1">
        <v>50000082</v>
      </c>
      <c r="B200" s="34" t="s">
        <v>364</v>
      </c>
      <c r="C200" s="34" t="s">
        <v>121</v>
      </c>
      <c r="D200" s="86">
        <v>175</v>
      </c>
      <c r="E200" s="86">
        <v>4</v>
      </c>
      <c r="F200" s="86">
        <v>8</v>
      </c>
      <c r="G200" s="86">
        <v>9.6</v>
      </c>
      <c r="H200" s="87" t="s">
        <v>15</v>
      </c>
      <c r="I200" s="28" t="s">
        <v>20</v>
      </c>
      <c r="J200" s="10" t="s">
        <v>27</v>
      </c>
    </row>
    <row r="201" spans="1:10">
      <c r="A201" s="1">
        <v>50000110</v>
      </c>
      <c r="B201" s="34" t="s">
        <v>365</v>
      </c>
      <c r="C201" s="34" t="s">
        <v>366</v>
      </c>
      <c r="D201" s="86">
        <v>180</v>
      </c>
      <c r="E201" s="86">
        <v>2</v>
      </c>
      <c r="F201" s="86">
        <v>5</v>
      </c>
      <c r="G201" s="86">
        <v>7</v>
      </c>
      <c r="H201" s="87" t="s">
        <v>15</v>
      </c>
      <c r="I201" s="87" t="s">
        <v>57</v>
      </c>
      <c r="J201" s="10" t="s">
        <v>27</v>
      </c>
    </row>
    <row r="202" spans="1:10">
      <c r="A202" s="1">
        <v>50000272</v>
      </c>
      <c r="B202" s="34" t="s">
        <v>367</v>
      </c>
      <c r="C202" s="34" t="s">
        <v>368</v>
      </c>
      <c r="D202" s="86">
        <v>200</v>
      </c>
      <c r="E202" s="86">
        <v>4</v>
      </c>
      <c r="F202" s="86">
        <v>8</v>
      </c>
      <c r="G202" s="86">
        <v>10</v>
      </c>
      <c r="H202" s="87" t="s">
        <v>15</v>
      </c>
      <c r="I202" s="87" t="s">
        <v>49</v>
      </c>
      <c r="J202" s="10" t="s">
        <v>27</v>
      </c>
    </row>
    <row r="203" spans="1:10">
      <c r="A203" s="1">
        <v>50000173</v>
      </c>
      <c r="B203" s="34" t="s">
        <v>369</v>
      </c>
      <c r="C203" s="34" t="s">
        <v>370</v>
      </c>
      <c r="D203" s="86">
        <v>128</v>
      </c>
      <c r="E203" s="86">
        <v>3</v>
      </c>
      <c r="F203" s="86">
        <v>8</v>
      </c>
      <c r="G203" s="86">
        <v>9.8</v>
      </c>
      <c r="J203" s="10" t="s">
        <v>27</v>
      </c>
    </row>
    <row r="204" spans="1:10">
      <c r="A204" s="1">
        <v>50000263</v>
      </c>
      <c r="B204" s="34" t="s">
        <v>371</v>
      </c>
      <c r="C204" s="34" t="s">
        <v>372</v>
      </c>
      <c r="D204" s="86">
        <v>188</v>
      </c>
      <c r="E204" s="86">
        <v>3</v>
      </c>
      <c r="F204" s="86">
        <v>7</v>
      </c>
      <c r="G204" s="86">
        <v>9.1</v>
      </c>
      <c r="H204" s="91" t="s">
        <v>15</v>
      </c>
      <c r="I204" s="28" t="s">
        <v>359</v>
      </c>
      <c r="J204" s="10" t="s">
        <v>27</v>
      </c>
    </row>
    <row r="205" spans="1:10">
      <c r="A205" s="1">
        <v>50000040</v>
      </c>
      <c r="B205" s="34" t="s">
        <v>373</v>
      </c>
      <c r="C205" s="34" t="s">
        <v>374</v>
      </c>
      <c r="D205" s="86">
        <v>142</v>
      </c>
      <c r="E205" s="86">
        <v>4</v>
      </c>
      <c r="F205" s="86">
        <v>6</v>
      </c>
      <c r="G205" s="86">
        <v>8</v>
      </c>
      <c r="H205" s="28" t="s">
        <v>15</v>
      </c>
      <c r="I205" s="28" t="s">
        <v>24</v>
      </c>
      <c r="J205" s="10" t="s">
        <v>27</v>
      </c>
    </row>
    <row r="206" spans="1:10">
      <c r="A206" s="1">
        <v>50000071</v>
      </c>
      <c r="B206" s="34" t="s">
        <v>375</v>
      </c>
      <c r="C206" s="90" t="s">
        <v>376</v>
      </c>
      <c r="D206" s="86">
        <v>149</v>
      </c>
      <c r="E206" s="86">
        <v>4</v>
      </c>
      <c r="F206" s="86">
        <v>7</v>
      </c>
      <c r="G206" s="86">
        <v>9.1</v>
      </c>
      <c r="H206" s="87" t="s">
        <v>15</v>
      </c>
      <c r="I206" s="28" t="s">
        <v>20</v>
      </c>
      <c r="J206" s="10" t="s">
        <v>27</v>
      </c>
    </row>
    <row r="207" spans="1:10">
      <c r="A207" s="1">
        <v>50000119</v>
      </c>
      <c r="B207" s="34" t="s">
        <v>377</v>
      </c>
      <c r="C207" s="90" t="s">
        <v>320</v>
      </c>
      <c r="D207" s="86">
        <v>167</v>
      </c>
      <c r="E207" s="86">
        <v>3</v>
      </c>
      <c r="F207" s="86">
        <v>6</v>
      </c>
      <c r="G207" s="86">
        <v>9.1</v>
      </c>
      <c r="H207" s="28" t="s">
        <v>15</v>
      </c>
      <c r="I207" s="28" t="s">
        <v>24</v>
      </c>
      <c r="J207" s="10" t="s">
        <v>27</v>
      </c>
    </row>
    <row r="208" spans="1:10">
      <c r="A208" s="1">
        <v>50000136</v>
      </c>
      <c r="B208" s="34" t="s">
        <v>378</v>
      </c>
      <c r="C208" s="90" t="s">
        <v>379</v>
      </c>
      <c r="D208" s="86">
        <v>230</v>
      </c>
      <c r="E208" s="86">
        <v>5</v>
      </c>
      <c r="F208" s="86">
        <v>7</v>
      </c>
      <c r="G208" s="86">
        <v>9.4</v>
      </c>
      <c r="H208" s="87" t="s">
        <v>15</v>
      </c>
      <c r="I208" s="87" t="s">
        <v>57</v>
      </c>
      <c r="J208" s="10" t="s">
        <v>27</v>
      </c>
    </row>
    <row r="209" spans="1:10">
      <c r="A209" s="1">
        <v>50000180</v>
      </c>
      <c r="B209" s="34" t="s">
        <v>380</v>
      </c>
      <c r="C209" s="34" t="s">
        <v>381</v>
      </c>
      <c r="D209" s="86">
        <v>140</v>
      </c>
      <c r="E209" s="86">
        <v>7</v>
      </c>
      <c r="F209" s="86">
        <v>9.4</v>
      </c>
      <c r="G209" s="86">
        <v>10.5</v>
      </c>
      <c r="H209" s="28" t="s">
        <v>15</v>
      </c>
      <c r="I209" s="28" t="s">
        <v>24</v>
      </c>
      <c r="J209" s="10" t="s">
        <v>27</v>
      </c>
    </row>
    <row r="210" spans="1:10">
      <c r="A210" s="1">
        <v>50000037</v>
      </c>
      <c r="B210" s="34" t="s">
        <v>382</v>
      </c>
      <c r="C210" s="34" t="s">
        <v>152</v>
      </c>
      <c r="D210" s="86">
        <v>140</v>
      </c>
      <c r="E210" s="86">
        <v>4</v>
      </c>
      <c r="F210" s="86">
        <v>6</v>
      </c>
      <c r="G210" s="86">
        <v>8</v>
      </c>
      <c r="H210" s="28" t="s">
        <v>15</v>
      </c>
      <c r="I210" s="28" t="s">
        <v>24</v>
      </c>
      <c r="J210" s="10" t="s">
        <v>27</v>
      </c>
    </row>
    <row r="211" spans="1:10">
      <c r="A211" s="1">
        <v>50000027</v>
      </c>
      <c r="B211" s="34" t="s">
        <v>383</v>
      </c>
      <c r="C211" s="34" t="s">
        <v>384</v>
      </c>
      <c r="D211" s="86" t="s">
        <v>385</v>
      </c>
      <c r="E211" s="86">
        <v>4</v>
      </c>
      <c r="F211" s="86">
        <v>5</v>
      </c>
      <c r="G211" s="86">
        <v>8</v>
      </c>
      <c r="H211" s="28" t="s">
        <v>15</v>
      </c>
      <c r="I211" s="28" t="s">
        <v>24</v>
      </c>
      <c r="J211" s="10" t="s">
        <v>27</v>
      </c>
    </row>
    <row r="212" spans="1:10">
      <c r="A212" s="1">
        <v>50000201</v>
      </c>
      <c r="B212" s="34" t="s">
        <v>386</v>
      </c>
      <c r="C212" s="34" t="s">
        <v>387</v>
      </c>
      <c r="D212" s="86">
        <v>140</v>
      </c>
      <c r="E212" s="86">
        <v>4</v>
      </c>
      <c r="F212" s="86">
        <v>6</v>
      </c>
      <c r="G212" s="86">
        <v>9.5</v>
      </c>
      <c r="H212" s="28" t="s">
        <v>15</v>
      </c>
      <c r="I212" s="28" t="s">
        <v>24</v>
      </c>
      <c r="J212" s="10" t="s">
        <v>27</v>
      </c>
    </row>
    <row r="213" spans="1:10">
      <c r="A213" s="1">
        <v>50000260</v>
      </c>
      <c r="B213" s="34" t="s">
        <v>388</v>
      </c>
      <c r="C213" s="34" t="s">
        <v>389</v>
      </c>
      <c r="D213" s="86">
        <v>141</v>
      </c>
      <c r="E213" s="86">
        <v>3</v>
      </c>
      <c r="F213" s="86">
        <v>6</v>
      </c>
      <c r="G213" s="86">
        <v>9.5</v>
      </c>
      <c r="H213" s="28" t="s">
        <v>15</v>
      </c>
      <c r="I213" s="28" t="s">
        <v>24</v>
      </c>
      <c r="J213" s="10" t="s">
        <v>27</v>
      </c>
    </row>
    <row r="214" spans="1:10">
      <c r="A214" s="1">
        <v>50000220</v>
      </c>
      <c r="B214" s="34" t="s">
        <v>390</v>
      </c>
      <c r="C214" s="34" t="s">
        <v>354</v>
      </c>
      <c r="D214" s="86">
        <v>180</v>
      </c>
      <c r="E214" s="86">
        <v>3</v>
      </c>
      <c r="F214" s="86">
        <v>5</v>
      </c>
      <c r="G214" s="86">
        <v>9.7</v>
      </c>
      <c r="H214" s="87" t="s">
        <v>15</v>
      </c>
      <c r="I214" s="87" t="s">
        <v>49</v>
      </c>
      <c r="J214" s="10" t="s">
        <v>27</v>
      </c>
    </row>
    <row r="215" spans="1:10">
      <c r="A215" s="1">
        <v>50000216</v>
      </c>
      <c r="B215" s="34" t="s">
        <v>391</v>
      </c>
      <c r="C215" s="34" t="s">
        <v>121</v>
      </c>
      <c r="D215" s="86">
        <v>166</v>
      </c>
      <c r="E215" s="86">
        <v>3</v>
      </c>
      <c r="F215" s="86">
        <v>6</v>
      </c>
      <c r="G215" s="86">
        <v>8</v>
      </c>
      <c r="H215" s="28" t="s">
        <v>15</v>
      </c>
      <c r="I215" s="28" t="s">
        <v>24</v>
      </c>
      <c r="J215" s="10" t="s">
        <v>27</v>
      </c>
    </row>
    <row r="216" spans="1:10">
      <c r="A216" s="1">
        <v>50000181</v>
      </c>
      <c r="B216" s="34" t="s">
        <v>392</v>
      </c>
      <c r="C216" s="90" t="s">
        <v>393</v>
      </c>
      <c r="D216" s="86">
        <v>185</v>
      </c>
      <c r="E216" s="86">
        <v>4</v>
      </c>
      <c r="F216" s="86">
        <v>8</v>
      </c>
      <c r="G216" s="86">
        <v>10.4</v>
      </c>
      <c r="H216" s="28" t="s">
        <v>15</v>
      </c>
      <c r="I216" s="28" t="s">
        <v>394</v>
      </c>
      <c r="J216" s="10" t="s">
        <v>27</v>
      </c>
    </row>
    <row r="217" spans="1:10">
      <c r="A217" s="83" t="s">
        <v>30</v>
      </c>
      <c r="B217" s="83"/>
      <c r="C217" s="83"/>
      <c r="D217" s="83"/>
      <c r="E217" s="83"/>
      <c r="F217" s="83"/>
      <c r="G217" s="83"/>
      <c r="H217" s="83"/>
      <c r="I217" s="83"/>
      <c r="J217" s="83"/>
    </row>
    <row r="218" spans="1:10">
      <c r="A218" s="1">
        <v>50000368</v>
      </c>
      <c r="B218" s="34">
        <v>10000000000</v>
      </c>
      <c r="C218" s="90" t="s">
        <v>395</v>
      </c>
      <c r="D218" s="86">
        <v>205</v>
      </c>
      <c r="E218" s="86">
        <v>3</v>
      </c>
      <c r="F218" s="86">
        <v>8</v>
      </c>
      <c r="G218" s="86">
        <v>9.1</v>
      </c>
      <c r="H218" s="28" t="s">
        <v>15</v>
      </c>
      <c r="I218" s="28" t="s">
        <v>24</v>
      </c>
      <c r="J218" s="17" t="s">
        <v>30</v>
      </c>
    </row>
    <row r="219" spans="1:10">
      <c r="A219" s="1">
        <v>50000383</v>
      </c>
      <c r="B219" s="34" t="s">
        <v>396</v>
      </c>
      <c r="C219" s="90" t="s">
        <v>135</v>
      </c>
      <c r="D219" s="86">
        <v>156</v>
      </c>
      <c r="E219" s="86">
        <v>2</v>
      </c>
      <c r="F219" s="86">
        <v>6</v>
      </c>
      <c r="G219" s="86">
        <v>9</v>
      </c>
      <c r="H219" s="87" t="s">
        <v>15</v>
      </c>
      <c r="I219" s="87" t="s">
        <v>16</v>
      </c>
      <c r="J219" s="17" t="s">
        <v>30</v>
      </c>
    </row>
    <row r="220" spans="1:10">
      <c r="A220" s="1">
        <v>50000293</v>
      </c>
      <c r="B220" s="34" t="s">
        <v>397</v>
      </c>
      <c r="C220" s="34" t="s">
        <v>235</v>
      </c>
      <c r="D220" s="86">
        <v>175</v>
      </c>
      <c r="E220" s="86">
        <v>3</v>
      </c>
      <c r="F220" s="86">
        <v>6</v>
      </c>
      <c r="G220" s="86">
        <v>9.4</v>
      </c>
      <c r="J220" s="17" t="s">
        <v>30</v>
      </c>
    </row>
    <row r="221" spans="1:10">
      <c r="A221" s="1">
        <v>50000344</v>
      </c>
      <c r="B221" s="34" t="s">
        <v>398</v>
      </c>
      <c r="C221" s="90" t="s">
        <v>399</v>
      </c>
      <c r="D221" s="86">
        <v>190</v>
      </c>
      <c r="E221" s="86">
        <v>5</v>
      </c>
      <c r="F221" s="86">
        <v>8</v>
      </c>
      <c r="G221" s="86">
        <v>10.6</v>
      </c>
      <c r="H221" s="28" t="s">
        <v>15</v>
      </c>
      <c r="I221" s="28" t="s">
        <v>400</v>
      </c>
      <c r="J221" s="17" t="s">
        <v>30</v>
      </c>
    </row>
    <row r="222" spans="1:10">
      <c r="A222" s="1">
        <v>50000277</v>
      </c>
      <c r="B222" s="34" t="s">
        <v>401</v>
      </c>
      <c r="C222" s="34" t="s">
        <v>131</v>
      </c>
      <c r="D222" s="86">
        <v>135</v>
      </c>
      <c r="E222" s="86">
        <v>3</v>
      </c>
      <c r="F222" s="86">
        <v>5</v>
      </c>
      <c r="G222" s="86">
        <v>9.2</v>
      </c>
      <c r="H222" s="28" t="s">
        <v>15</v>
      </c>
      <c r="I222" s="28" t="s">
        <v>24</v>
      </c>
      <c r="J222" s="17" t="s">
        <v>30</v>
      </c>
    </row>
    <row r="223" spans="1:10">
      <c r="A223" s="1">
        <v>50000203</v>
      </c>
      <c r="B223" s="34" t="s">
        <v>402</v>
      </c>
      <c r="C223" s="34" t="s">
        <v>65</v>
      </c>
      <c r="D223" s="86">
        <v>190</v>
      </c>
      <c r="E223" s="86">
        <v>5</v>
      </c>
      <c r="F223" s="86">
        <v>8</v>
      </c>
      <c r="G223" s="86">
        <v>10.4</v>
      </c>
      <c r="H223" s="87" t="s">
        <v>15</v>
      </c>
      <c r="I223" s="87" t="s">
        <v>57</v>
      </c>
      <c r="J223" s="17" t="s">
        <v>30</v>
      </c>
    </row>
    <row r="224" spans="1:10">
      <c r="A224" s="1">
        <v>50000281</v>
      </c>
      <c r="B224" s="34" t="s">
        <v>403</v>
      </c>
      <c r="C224" s="34" t="s">
        <v>404</v>
      </c>
      <c r="D224" s="86">
        <v>170</v>
      </c>
      <c r="E224" s="86">
        <v>3</v>
      </c>
      <c r="F224" s="86">
        <v>6</v>
      </c>
      <c r="G224" s="86">
        <v>9.6</v>
      </c>
      <c r="J224" s="17" t="s">
        <v>30</v>
      </c>
    </row>
    <row r="225" spans="1:10">
      <c r="A225" s="1">
        <v>50000376</v>
      </c>
      <c r="B225" s="34" t="s">
        <v>405</v>
      </c>
      <c r="C225" s="90" t="s">
        <v>406</v>
      </c>
      <c r="D225" s="86">
        <v>190</v>
      </c>
      <c r="E225" s="86">
        <v>4</v>
      </c>
      <c r="F225" s="86">
        <v>6</v>
      </c>
      <c r="G225" s="86">
        <v>8</v>
      </c>
      <c r="H225" s="28" t="s">
        <v>15</v>
      </c>
      <c r="I225" s="28" t="s">
        <v>24</v>
      </c>
      <c r="J225" s="17" t="s">
        <v>30</v>
      </c>
    </row>
    <row r="226" spans="1:10">
      <c r="A226" s="1">
        <v>50000287</v>
      </c>
      <c r="B226" s="34" t="s">
        <v>407</v>
      </c>
      <c r="C226" s="90" t="s">
        <v>376</v>
      </c>
      <c r="D226" s="86">
        <v>140</v>
      </c>
      <c r="E226" s="86">
        <v>3</v>
      </c>
      <c r="F226" s="86">
        <v>6</v>
      </c>
      <c r="G226" s="86">
        <v>8</v>
      </c>
      <c r="H226" s="28" t="s">
        <v>15</v>
      </c>
      <c r="I226" s="28" t="s">
        <v>24</v>
      </c>
      <c r="J226" s="17" t="s">
        <v>30</v>
      </c>
    </row>
    <row r="227" spans="1:10">
      <c r="A227" s="1">
        <v>50000339</v>
      </c>
      <c r="B227" s="34" t="s">
        <v>408</v>
      </c>
      <c r="C227" s="34" t="s">
        <v>409</v>
      </c>
      <c r="D227" s="86">
        <v>175</v>
      </c>
      <c r="E227" s="86">
        <v>4</v>
      </c>
      <c r="F227" s="86">
        <v>7</v>
      </c>
      <c r="G227" s="86">
        <v>10.1</v>
      </c>
      <c r="H227" s="28" t="s">
        <v>15</v>
      </c>
      <c r="I227" s="28" t="s">
        <v>410</v>
      </c>
      <c r="J227" s="17" t="s">
        <v>30</v>
      </c>
    </row>
    <row r="228" spans="1:10">
      <c r="A228" s="1">
        <v>50000381</v>
      </c>
      <c r="B228" s="34" t="s">
        <v>411</v>
      </c>
      <c r="C228" s="90" t="s">
        <v>412</v>
      </c>
      <c r="D228" s="86">
        <v>180</v>
      </c>
      <c r="E228" s="86">
        <v>2</v>
      </c>
      <c r="F228" s="86">
        <v>6</v>
      </c>
      <c r="G228" s="86">
        <v>8</v>
      </c>
      <c r="H228" s="28" t="s">
        <v>15</v>
      </c>
      <c r="I228" s="28" t="s">
        <v>24</v>
      </c>
      <c r="J228" s="17" t="s">
        <v>30</v>
      </c>
    </row>
    <row r="229" spans="1:10">
      <c r="A229" s="1">
        <v>50000257</v>
      </c>
      <c r="B229" s="34" t="s">
        <v>413</v>
      </c>
      <c r="C229" s="34" t="s">
        <v>414</v>
      </c>
      <c r="D229" s="86">
        <v>178</v>
      </c>
      <c r="E229" s="86">
        <v>3</v>
      </c>
      <c r="F229" s="86">
        <v>7</v>
      </c>
      <c r="G229" s="86">
        <v>9.4</v>
      </c>
      <c r="H229" s="28" t="s">
        <v>15</v>
      </c>
      <c r="I229" s="28" t="s">
        <v>24</v>
      </c>
      <c r="J229" s="17" t="s">
        <v>30</v>
      </c>
    </row>
    <row r="230" spans="1:10">
      <c r="A230" s="1">
        <v>50000346</v>
      </c>
      <c r="B230" s="34" t="s">
        <v>415</v>
      </c>
      <c r="C230" s="90" t="s">
        <v>416</v>
      </c>
      <c r="D230" s="86">
        <v>180</v>
      </c>
      <c r="E230" s="86">
        <v>4</v>
      </c>
      <c r="F230" s="86">
        <v>7</v>
      </c>
      <c r="G230" s="86">
        <v>10.3</v>
      </c>
      <c r="H230" s="28" t="s">
        <v>15</v>
      </c>
      <c r="I230" s="28" t="s">
        <v>400</v>
      </c>
      <c r="J230" s="17" t="s">
        <v>30</v>
      </c>
    </row>
    <row r="231" spans="1:10">
      <c r="A231" s="1">
        <v>50000338</v>
      </c>
      <c r="B231" s="34" t="s">
        <v>417</v>
      </c>
      <c r="C231" s="34" t="s">
        <v>414</v>
      </c>
      <c r="D231" s="86">
        <v>123</v>
      </c>
      <c r="E231" s="86">
        <v>3</v>
      </c>
      <c r="F231" s="86">
        <v>6</v>
      </c>
      <c r="G231" s="86">
        <v>8</v>
      </c>
      <c r="H231" s="28" t="s">
        <v>15</v>
      </c>
      <c r="I231" s="28" t="s">
        <v>24</v>
      </c>
      <c r="J231" s="17" t="s">
        <v>30</v>
      </c>
    </row>
    <row r="232" spans="1:10">
      <c r="A232" s="1">
        <v>50000252</v>
      </c>
      <c r="B232" s="34" t="s">
        <v>418</v>
      </c>
      <c r="C232" s="90" t="s">
        <v>419</v>
      </c>
      <c r="D232" s="86">
        <v>186</v>
      </c>
      <c r="E232" s="86">
        <v>3</v>
      </c>
      <c r="F232" s="86">
        <v>7</v>
      </c>
      <c r="G232" s="86">
        <v>9.1</v>
      </c>
      <c r="H232" s="28" t="s">
        <v>15</v>
      </c>
      <c r="I232" s="28" t="s">
        <v>24</v>
      </c>
      <c r="J232" s="17" t="s">
        <v>30</v>
      </c>
    </row>
    <row r="233" spans="1:10">
      <c r="A233" s="1">
        <v>50000347</v>
      </c>
      <c r="B233" s="34" t="s">
        <v>420</v>
      </c>
      <c r="C233" s="34" t="s">
        <v>14</v>
      </c>
      <c r="D233" s="86">
        <v>149</v>
      </c>
      <c r="E233" s="86">
        <v>3</v>
      </c>
      <c r="F233" s="86">
        <v>7</v>
      </c>
      <c r="G233" s="86">
        <v>9.1</v>
      </c>
      <c r="H233" s="28" t="s">
        <v>15</v>
      </c>
      <c r="I233" s="28" t="s">
        <v>24</v>
      </c>
      <c r="J233" s="17" t="s">
        <v>30</v>
      </c>
    </row>
    <row r="234" spans="1:10">
      <c r="A234" s="1">
        <v>50000382</v>
      </c>
      <c r="B234" s="34" t="s">
        <v>421</v>
      </c>
      <c r="C234" s="34" t="s">
        <v>88</v>
      </c>
      <c r="D234" s="86">
        <v>164</v>
      </c>
      <c r="E234" s="86">
        <v>2</v>
      </c>
      <c r="F234" s="86">
        <v>6</v>
      </c>
      <c r="G234" s="86">
        <v>9.2</v>
      </c>
      <c r="H234" s="28" t="s">
        <v>15</v>
      </c>
      <c r="I234" s="28" t="s">
        <v>24</v>
      </c>
      <c r="J234" s="17" t="s">
        <v>30</v>
      </c>
    </row>
    <row r="235" spans="1:10">
      <c r="A235" s="1">
        <v>50000350</v>
      </c>
      <c r="B235" s="34" t="s">
        <v>422</v>
      </c>
      <c r="C235" s="34" t="s">
        <v>110</v>
      </c>
      <c r="D235" s="86">
        <v>140</v>
      </c>
      <c r="E235" s="86">
        <v>2</v>
      </c>
      <c r="F235" s="86">
        <v>5</v>
      </c>
      <c r="G235" s="86">
        <v>8</v>
      </c>
      <c r="H235" s="28" t="s">
        <v>15</v>
      </c>
      <c r="I235" s="28" t="s">
        <v>95</v>
      </c>
      <c r="J235" s="17" t="s">
        <v>30</v>
      </c>
    </row>
    <row r="236" spans="1:10">
      <c r="A236" s="1">
        <v>50000372</v>
      </c>
      <c r="B236" s="34" t="s">
        <v>423</v>
      </c>
      <c r="C236" s="34" t="s">
        <v>90</v>
      </c>
      <c r="D236" s="86">
        <v>165</v>
      </c>
      <c r="E236" s="86">
        <v>4</v>
      </c>
      <c r="F236" s="86">
        <v>7</v>
      </c>
      <c r="G236" s="86">
        <v>9.2</v>
      </c>
      <c r="H236" s="28" t="s">
        <v>15</v>
      </c>
      <c r="I236" s="28" t="s">
        <v>24</v>
      </c>
      <c r="J236" s="17" t="s">
        <v>30</v>
      </c>
    </row>
    <row r="237" spans="1:10">
      <c r="A237" s="1">
        <v>50000288</v>
      </c>
      <c r="B237" s="34" t="s">
        <v>424</v>
      </c>
      <c r="C237" s="34" t="s">
        <v>23</v>
      </c>
      <c r="D237" s="86">
        <v>179</v>
      </c>
      <c r="E237" s="86">
        <v>4</v>
      </c>
      <c r="F237" s="86">
        <v>7</v>
      </c>
      <c r="G237" s="86">
        <v>9.3</v>
      </c>
      <c r="H237" s="87" t="s">
        <v>15</v>
      </c>
      <c r="I237" s="87" t="s">
        <v>57</v>
      </c>
      <c r="J237" s="17" t="s">
        <v>30</v>
      </c>
    </row>
    <row r="238" spans="1:10">
      <c r="A238" s="1">
        <v>50000330</v>
      </c>
      <c r="B238" s="34" t="s">
        <v>425</v>
      </c>
      <c r="C238" s="34" t="s">
        <v>105</v>
      </c>
      <c r="D238" s="86">
        <v>175</v>
      </c>
      <c r="E238" s="86">
        <v>4</v>
      </c>
      <c r="F238" s="86">
        <v>8</v>
      </c>
      <c r="G238" s="86">
        <v>10.2</v>
      </c>
      <c r="J238" s="17" t="s">
        <v>30</v>
      </c>
    </row>
    <row r="239" spans="1:10">
      <c r="A239" s="1">
        <v>50000278</v>
      </c>
      <c r="B239" s="34" t="s">
        <v>426</v>
      </c>
      <c r="C239" s="90" t="s">
        <v>177</v>
      </c>
      <c r="D239" s="86">
        <v>220</v>
      </c>
      <c r="E239" s="86">
        <v>3</v>
      </c>
      <c r="F239" s="86">
        <v>5</v>
      </c>
      <c r="G239" s="86">
        <v>9.5</v>
      </c>
      <c r="H239" s="28" t="s">
        <v>15</v>
      </c>
      <c r="I239" s="28" t="s">
        <v>24</v>
      </c>
      <c r="J239" s="17" t="s">
        <v>30</v>
      </c>
    </row>
    <row r="240" spans="1:10">
      <c r="A240" s="1">
        <v>50000324</v>
      </c>
      <c r="B240" s="34" t="s">
        <v>427</v>
      </c>
      <c r="C240" s="34" t="s">
        <v>88</v>
      </c>
      <c r="D240" s="86">
        <v>190</v>
      </c>
      <c r="E240" s="86">
        <v>5</v>
      </c>
      <c r="F240" s="86">
        <v>8</v>
      </c>
      <c r="G240" s="86">
        <v>10.1</v>
      </c>
      <c r="J240" s="17" t="s">
        <v>30</v>
      </c>
    </row>
    <row r="241" spans="1:10">
      <c r="A241" s="1">
        <v>50000280</v>
      </c>
      <c r="B241" s="34" t="s">
        <v>428</v>
      </c>
      <c r="C241" s="34" t="s">
        <v>171</v>
      </c>
      <c r="D241" s="86">
        <v>176</v>
      </c>
      <c r="E241" s="86">
        <v>4</v>
      </c>
      <c r="F241" s="86">
        <v>7</v>
      </c>
      <c r="G241" s="86">
        <v>9.1</v>
      </c>
      <c r="H241" s="92" t="s">
        <v>15</v>
      </c>
      <c r="I241" s="28" t="s">
        <v>429</v>
      </c>
      <c r="J241" s="17" t="s">
        <v>30</v>
      </c>
    </row>
    <row r="242" spans="1:10">
      <c r="A242" s="1">
        <v>50000323</v>
      </c>
      <c r="B242" s="34" t="s">
        <v>430</v>
      </c>
      <c r="C242" s="34" t="s">
        <v>215</v>
      </c>
      <c r="D242" s="86">
        <v>200</v>
      </c>
      <c r="E242" s="86">
        <v>5</v>
      </c>
      <c r="F242" s="86">
        <v>8</v>
      </c>
      <c r="G242" s="86">
        <v>10.7</v>
      </c>
      <c r="H242" s="28" t="s">
        <v>15</v>
      </c>
      <c r="I242" s="28" t="s">
        <v>180</v>
      </c>
      <c r="J242" s="17" t="s">
        <v>30</v>
      </c>
    </row>
    <row r="243" spans="1:10">
      <c r="A243" s="1">
        <v>50000388</v>
      </c>
      <c r="B243" s="34" t="s">
        <v>431</v>
      </c>
      <c r="C243" s="90" t="s">
        <v>432</v>
      </c>
      <c r="D243" s="86">
        <v>195</v>
      </c>
      <c r="E243" s="86">
        <v>4</v>
      </c>
      <c r="F243" s="86">
        <v>8</v>
      </c>
      <c r="G243" s="86">
        <v>10</v>
      </c>
      <c r="H243" s="28" t="s">
        <v>15</v>
      </c>
      <c r="I243" s="28" t="s">
        <v>433</v>
      </c>
      <c r="J243" s="17" t="s">
        <v>30</v>
      </c>
    </row>
    <row r="244" spans="1:10">
      <c r="A244" s="1">
        <v>50000349</v>
      </c>
      <c r="B244" s="34" t="s">
        <v>434</v>
      </c>
      <c r="C244" s="34" t="s">
        <v>372</v>
      </c>
      <c r="D244" s="86">
        <v>192</v>
      </c>
      <c r="E244" s="86">
        <v>4</v>
      </c>
      <c r="F244" s="86">
        <v>7</v>
      </c>
      <c r="G244" s="86">
        <v>9.5</v>
      </c>
      <c r="H244" s="28" t="s">
        <v>15</v>
      </c>
      <c r="I244" s="28" t="s">
        <v>95</v>
      </c>
      <c r="J244" s="17" t="s">
        <v>30</v>
      </c>
    </row>
    <row r="245" spans="1:10">
      <c r="A245" s="1">
        <v>50000387</v>
      </c>
      <c r="B245" s="34" t="s">
        <v>435</v>
      </c>
      <c r="C245" s="34" t="s">
        <v>436</v>
      </c>
      <c r="D245" s="86">
        <v>155</v>
      </c>
      <c r="E245" s="86">
        <v>4</v>
      </c>
      <c r="F245" s="86">
        <v>7</v>
      </c>
      <c r="G245" s="86">
        <v>8</v>
      </c>
      <c r="H245" s="28" t="s">
        <v>15</v>
      </c>
      <c r="I245" s="28" t="s">
        <v>24</v>
      </c>
      <c r="J245" s="17" t="s">
        <v>30</v>
      </c>
    </row>
    <row r="246" spans="1:10">
      <c r="A246" s="1">
        <v>50000348</v>
      </c>
      <c r="B246" s="34" t="s">
        <v>437</v>
      </c>
      <c r="C246" s="34" t="s">
        <v>90</v>
      </c>
      <c r="D246" s="86">
        <v>152</v>
      </c>
      <c r="E246" s="86">
        <v>3</v>
      </c>
      <c r="F246" s="86">
        <v>7</v>
      </c>
      <c r="G246" s="86">
        <v>9.5</v>
      </c>
      <c r="H246" s="87" t="s">
        <v>15</v>
      </c>
      <c r="I246" s="87" t="s">
        <v>16</v>
      </c>
      <c r="J246" s="17" t="s">
        <v>30</v>
      </c>
    </row>
    <row r="247" spans="1:10">
      <c r="A247" s="1">
        <v>50000345</v>
      </c>
      <c r="B247" s="34" t="s">
        <v>438</v>
      </c>
      <c r="C247" s="90" t="s">
        <v>439</v>
      </c>
      <c r="D247" s="86" t="s">
        <v>440</v>
      </c>
      <c r="E247" s="86">
        <v>5</v>
      </c>
      <c r="F247" s="86">
        <v>9.1</v>
      </c>
      <c r="G247" s="86">
        <v>10.3</v>
      </c>
      <c r="H247" s="28" t="s">
        <v>15</v>
      </c>
      <c r="I247" s="28" t="s">
        <v>400</v>
      </c>
      <c r="J247" s="17" t="s">
        <v>30</v>
      </c>
    </row>
    <row r="248" spans="1:10">
      <c r="A248" s="1">
        <v>50000325</v>
      </c>
      <c r="B248" s="34" t="s">
        <v>441</v>
      </c>
      <c r="C248" s="34" t="s">
        <v>354</v>
      </c>
      <c r="D248" s="86">
        <v>204</v>
      </c>
      <c r="E248" s="86">
        <v>4</v>
      </c>
      <c r="F248" s="86">
        <v>8</v>
      </c>
      <c r="G248" s="86">
        <v>9.6</v>
      </c>
      <c r="H248" s="87" t="s">
        <v>15</v>
      </c>
      <c r="I248" s="28" t="s">
        <v>349</v>
      </c>
      <c r="J248" s="17" t="s">
        <v>30</v>
      </c>
    </row>
    <row r="249" spans="1:10">
      <c r="A249" s="1">
        <v>50000399</v>
      </c>
      <c r="B249" s="34" t="s">
        <v>442</v>
      </c>
      <c r="C249" s="34" t="s">
        <v>372</v>
      </c>
      <c r="D249" s="86">
        <v>178</v>
      </c>
      <c r="E249" s="86">
        <v>3</v>
      </c>
      <c r="F249" s="86">
        <v>7</v>
      </c>
      <c r="G249" s="86">
        <v>9.3</v>
      </c>
      <c r="H249" s="87" t="s">
        <v>15</v>
      </c>
      <c r="I249" s="28" t="s">
        <v>20</v>
      </c>
      <c r="J249" s="17" t="s">
        <v>30</v>
      </c>
    </row>
    <row r="250" spans="1:10">
      <c r="A250" s="83" t="s">
        <v>33</v>
      </c>
      <c r="B250" s="83"/>
      <c r="C250" s="83"/>
      <c r="D250" s="83"/>
      <c r="E250" s="83"/>
      <c r="F250" s="83"/>
      <c r="G250" s="83"/>
      <c r="H250" s="83"/>
      <c r="I250" s="83"/>
      <c r="J250" s="83"/>
    </row>
    <row r="251" spans="1:10">
      <c r="A251" s="28">
        <v>60001005</v>
      </c>
      <c r="B251" s="65" t="s">
        <v>443</v>
      </c>
      <c r="C251" s="80"/>
      <c r="D251" s="90">
        <v>190</v>
      </c>
      <c r="E251" s="90">
        <v>6</v>
      </c>
      <c r="F251" s="90">
        <v>8</v>
      </c>
      <c r="G251" s="90">
        <v>10.3</v>
      </c>
      <c r="H251" s="87" t="s">
        <v>15</v>
      </c>
      <c r="I251" s="87" t="s">
        <v>49</v>
      </c>
      <c r="J251" s="27" t="s">
        <v>33</v>
      </c>
    </row>
    <row r="252" spans="1:10">
      <c r="A252" s="28">
        <v>60000006</v>
      </c>
      <c r="B252" s="34" t="s">
        <v>444</v>
      </c>
      <c r="C252" s="90" t="s">
        <v>445</v>
      </c>
      <c r="D252" s="86">
        <v>153</v>
      </c>
      <c r="E252" s="86">
        <v>3</v>
      </c>
      <c r="F252" s="86">
        <v>7</v>
      </c>
      <c r="G252" s="86">
        <v>9.2</v>
      </c>
      <c r="J252" s="27" t="s">
        <v>33</v>
      </c>
    </row>
    <row r="253" spans="1:10">
      <c r="A253" s="28">
        <v>60000058</v>
      </c>
      <c r="B253" s="34" t="s">
        <v>446</v>
      </c>
      <c r="C253" s="34" t="s">
        <v>447</v>
      </c>
      <c r="D253" s="86">
        <v>170</v>
      </c>
      <c r="E253" s="86">
        <v>4</v>
      </c>
      <c r="F253" s="86">
        <v>8</v>
      </c>
      <c r="G253" s="86">
        <v>10.5</v>
      </c>
      <c r="H253" s="92" t="s">
        <v>15</v>
      </c>
      <c r="I253" s="28" t="s">
        <v>429</v>
      </c>
      <c r="J253" s="27" t="s">
        <v>33</v>
      </c>
    </row>
    <row r="254" spans="1:10">
      <c r="A254" s="28">
        <v>60001003</v>
      </c>
      <c r="B254" s="65" t="s">
        <v>448</v>
      </c>
      <c r="C254" s="34"/>
      <c r="D254" s="90">
        <v>173</v>
      </c>
      <c r="E254" s="90">
        <v>6</v>
      </c>
      <c r="F254" s="90">
        <v>8</v>
      </c>
      <c r="G254" s="90">
        <v>10.4</v>
      </c>
      <c r="H254" s="87" t="s">
        <v>15</v>
      </c>
      <c r="I254" s="87" t="s">
        <v>49</v>
      </c>
      <c r="J254" s="27" t="s">
        <v>33</v>
      </c>
    </row>
    <row r="255" spans="1:10">
      <c r="A255" s="28">
        <v>60000002</v>
      </c>
      <c r="B255" s="34" t="s">
        <v>449</v>
      </c>
      <c r="C255" s="34" t="s">
        <v>183</v>
      </c>
      <c r="D255" s="86">
        <v>186</v>
      </c>
      <c r="E255" s="86">
        <v>6</v>
      </c>
      <c r="F255" s="86">
        <v>9.2</v>
      </c>
      <c r="G255" s="86">
        <v>10.3</v>
      </c>
      <c r="H255" s="87" t="s">
        <v>15</v>
      </c>
      <c r="I255" s="87" t="s">
        <v>57</v>
      </c>
      <c r="J255" s="27" t="s">
        <v>33</v>
      </c>
    </row>
    <row r="256" spans="1:10">
      <c r="A256" s="28">
        <v>60001009</v>
      </c>
      <c r="B256" s="65" t="s">
        <v>450</v>
      </c>
      <c r="C256" s="90"/>
      <c r="D256" s="90">
        <v>186</v>
      </c>
      <c r="E256" s="90">
        <v>6</v>
      </c>
      <c r="F256" s="90">
        <v>9.5</v>
      </c>
      <c r="G256" s="90">
        <v>10.6</v>
      </c>
      <c r="H256" s="87" t="s">
        <v>15</v>
      </c>
      <c r="I256" s="87" t="s">
        <v>49</v>
      </c>
      <c r="J256" s="27" t="s">
        <v>33</v>
      </c>
    </row>
    <row r="257" spans="1:10">
      <c r="A257" s="28">
        <v>60000064</v>
      </c>
      <c r="B257" s="34" t="s">
        <v>451</v>
      </c>
      <c r="C257" s="90" t="s">
        <v>452</v>
      </c>
      <c r="D257" s="86" t="s">
        <v>453</v>
      </c>
      <c r="E257" s="86">
        <v>3</v>
      </c>
      <c r="F257" s="86">
        <v>7</v>
      </c>
      <c r="G257" s="86">
        <v>9.8</v>
      </c>
      <c r="J257" s="27" t="s">
        <v>33</v>
      </c>
    </row>
    <row r="258" spans="1:10">
      <c r="A258" s="1">
        <v>60000113</v>
      </c>
      <c r="B258" s="34" t="s">
        <v>454</v>
      </c>
      <c r="C258" s="34" t="s">
        <v>455</v>
      </c>
      <c r="D258" s="86">
        <v>194</v>
      </c>
      <c r="E258" s="86">
        <v>3</v>
      </c>
      <c r="F258" s="86">
        <v>7</v>
      </c>
      <c r="G258" s="86">
        <v>9.3</v>
      </c>
      <c r="H258" s="28" t="s">
        <v>15</v>
      </c>
      <c r="I258" s="28" t="s">
        <v>24</v>
      </c>
      <c r="J258" s="27" t="s">
        <v>33</v>
      </c>
    </row>
    <row r="259" spans="1:10">
      <c r="A259" s="28">
        <v>60001001</v>
      </c>
      <c r="B259" s="65" t="s">
        <v>456</v>
      </c>
      <c r="C259" s="90"/>
      <c r="D259" s="90">
        <v>180</v>
      </c>
      <c r="E259" s="90">
        <v>4</v>
      </c>
      <c r="F259" s="90">
        <v>7</v>
      </c>
      <c r="G259" s="90">
        <v>9.4</v>
      </c>
      <c r="J259" s="27" t="s">
        <v>33</v>
      </c>
    </row>
    <row r="260" spans="1:10">
      <c r="A260" s="1">
        <v>60000083</v>
      </c>
      <c r="B260" s="34" t="s">
        <v>457</v>
      </c>
      <c r="C260" s="90" t="s">
        <v>458</v>
      </c>
      <c r="D260" s="86">
        <v>195</v>
      </c>
      <c r="E260" s="86">
        <v>2</v>
      </c>
      <c r="F260" s="86">
        <v>7</v>
      </c>
      <c r="G260" s="86">
        <v>8</v>
      </c>
      <c r="H260" s="28" t="s">
        <v>15</v>
      </c>
      <c r="I260" s="28" t="s">
        <v>24</v>
      </c>
      <c r="J260" s="27" t="s">
        <v>33</v>
      </c>
    </row>
    <row r="261" spans="1:10">
      <c r="A261" s="28">
        <v>60000001</v>
      </c>
      <c r="B261" s="34" t="s">
        <v>459</v>
      </c>
      <c r="C261" s="34" t="s">
        <v>117</v>
      </c>
      <c r="D261" s="86">
        <v>186</v>
      </c>
      <c r="E261" s="86">
        <v>4</v>
      </c>
      <c r="F261" s="86">
        <v>8</v>
      </c>
      <c r="G261" s="86">
        <v>10.6</v>
      </c>
      <c r="J261" s="27" t="s">
        <v>33</v>
      </c>
    </row>
    <row r="262" spans="1:10">
      <c r="A262" s="1">
        <v>60000008</v>
      </c>
      <c r="B262" s="34" t="s">
        <v>460</v>
      </c>
      <c r="C262" s="34"/>
      <c r="D262" s="90">
        <v>190</v>
      </c>
      <c r="E262" s="90">
        <v>4</v>
      </c>
      <c r="F262" s="90">
        <v>8</v>
      </c>
      <c r="G262" s="90">
        <v>10.4</v>
      </c>
      <c r="H262" s="28" t="s">
        <v>15</v>
      </c>
      <c r="I262" s="28" t="s">
        <v>24</v>
      </c>
      <c r="J262" s="27" t="s">
        <v>33</v>
      </c>
    </row>
    <row r="263" spans="1:10">
      <c r="A263" s="1">
        <v>60000007</v>
      </c>
      <c r="B263" s="34" t="s">
        <v>461</v>
      </c>
      <c r="C263" s="34" t="s">
        <v>88</v>
      </c>
      <c r="D263" s="86">
        <v>130</v>
      </c>
      <c r="E263" s="86">
        <v>4</v>
      </c>
      <c r="F263" s="86">
        <v>7</v>
      </c>
      <c r="G263" s="86">
        <v>9.7</v>
      </c>
      <c r="H263" s="28" t="s">
        <v>15</v>
      </c>
      <c r="I263" s="28" t="s">
        <v>24</v>
      </c>
      <c r="J263" s="27" t="s">
        <v>33</v>
      </c>
    </row>
    <row r="264" spans="1:10">
      <c r="A264" s="1">
        <v>60001002</v>
      </c>
      <c r="B264" s="65" t="s">
        <v>462</v>
      </c>
      <c r="C264" s="34"/>
      <c r="D264" s="90">
        <v>190</v>
      </c>
      <c r="E264" s="90">
        <v>4</v>
      </c>
      <c r="F264" s="90">
        <v>6</v>
      </c>
      <c r="G264" s="90">
        <v>9.2</v>
      </c>
      <c r="H264" s="87" t="s">
        <v>15</v>
      </c>
      <c r="I264" s="87" t="s">
        <v>57</v>
      </c>
      <c r="J264" s="27" t="s">
        <v>33</v>
      </c>
    </row>
    <row r="265" spans="1:10">
      <c r="A265" s="1">
        <v>60000074</v>
      </c>
      <c r="B265" s="34" t="s">
        <v>463</v>
      </c>
      <c r="C265" s="34" t="s">
        <v>235</v>
      </c>
      <c r="D265" s="86">
        <v>260</v>
      </c>
      <c r="E265" s="86">
        <v>4</v>
      </c>
      <c r="F265" s="86">
        <v>8</v>
      </c>
      <c r="G265" s="86">
        <v>9.4</v>
      </c>
      <c r="H265" s="28" t="s">
        <v>15</v>
      </c>
      <c r="I265" s="28" t="s">
        <v>24</v>
      </c>
      <c r="J265" s="27" t="s">
        <v>33</v>
      </c>
    </row>
    <row r="266" spans="1:10">
      <c r="A266" s="28">
        <v>60000073</v>
      </c>
      <c r="B266" s="34" t="s">
        <v>464</v>
      </c>
      <c r="C266" s="34" t="s">
        <v>465</v>
      </c>
      <c r="D266" s="86">
        <v>190</v>
      </c>
      <c r="E266" s="86">
        <v>3</v>
      </c>
      <c r="F266" s="86">
        <v>7</v>
      </c>
      <c r="G266" s="86">
        <v>10.3</v>
      </c>
      <c r="H266" s="28" t="s">
        <v>15</v>
      </c>
      <c r="I266" s="28" t="s">
        <v>24</v>
      </c>
      <c r="J266" s="27" t="s">
        <v>33</v>
      </c>
    </row>
    <row r="267" spans="1:10">
      <c r="A267" s="28">
        <v>60000072</v>
      </c>
      <c r="B267" s="34" t="s">
        <v>466</v>
      </c>
      <c r="C267" s="34" t="s">
        <v>414</v>
      </c>
      <c r="D267" s="86" t="s">
        <v>467</v>
      </c>
      <c r="E267" s="86">
        <v>4</v>
      </c>
      <c r="F267" s="86">
        <v>9.2</v>
      </c>
      <c r="G267" s="86">
        <v>10.3</v>
      </c>
      <c r="J267" s="27" t="s">
        <v>33</v>
      </c>
    </row>
    <row r="268" spans="1:10">
      <c r="A268" s="1">
        <v>60000056</v>
      </c>
      <c r="B268" s="34" t="s">
        <v>468</v>
      </c>
      <c r="C268" s="34" t="s">
        <v>152</v>
      </c>
      <c r="D268" s="86" t="s">
        <v>469</v>
      </c>
      <c r="E268" s="86">
        <v>4</v>
      </c>
      <c r="F268" s="86">
        <v>7</v>
      </c>
      <c r="G268" s="86">
        <v>9.6</v>
      </c>
      <c r="H268" s="28" t="s">
        <v>15</v>
      </c>
      <c r="I268" s="28" t="s">
        <v>24</v>
      </c>
      <c r="J268" s="27" t="s">
        <v>33</v>
      </c>
    </row>
    <row r="269" spans="1:10">
      <c r="A269" s="1">
        <v>60000009</v>
      </c>
      <c r="B269" s="34" t="s">
        <v>470</v>
      </c>
      <c r="C269" s="90" t="s">
        <v>471</v>
      </c>
      <c r="D269" s="86">
        <v>138</v>
      </c>
      <c r="E269" s="86">
        <v>3</v>
      </c>
      <c r="F269" s="86">
        <v>5</v>
      </c>
      <c r="G269" s="86">
        <v>9.2</v>
      </c>
      <c r="H269" s="28" t="s">
        <v>15</v>
      </c>
      <c r="I269" s="28" t="s">
        <v>24</v>
      </c>
      <c r="J269" s="27" t="s">
        <v>33</v>
      </c>
    </row>
    <row r="270" spans="1:10">
      <c r="A270" s="1">
        <v>60001006</v>
      </c>
      <c r="B270" s="65" t="s">
        <v>472</v>
      </c>
      <c r="C270" s="34"/>
      <c r="D270" s="90">
        <v>138</v>
      </c>
      <c r="E270" s="90">
        <v>4</v>
      </c>
      <c r="F270" s="90">
        <v>9.2</v>
      </c>
      <c r="G270" s="90">
        <v>10.5</v>
      </c>
      <c r="H270" s="87" t="s">
        <v>15</v>
      </c>
      <c r="I270" s="87" t="s">
        <v>36</v>
      </c>
      <c r="J270" s="27" t="s">
        <v>33</v>
      </c>
    </row>
    <row r="271" spans="1:10">
      <c r="A271" s="1">
        <v>60000070</v>
      </c>
      <c r="B271" s="34" t="s">
        <v>473</v>
      </c>
      <c r="C271" s="90" t="s">
        <v>445</v>
      </c>
      <c r="D271" s="86">
        <v>132</v>
      </c>
      <c r="E271" s="86">
        <v>5</v>
      </c>
      <c r="F271" s="86">
        <v>8</v>
      </c>
      <c r="G271" s="86">
        <v>9.7</v>
      </c>
      <c r="J271" s="27" t="s">
        <v>33</v>
      </c>
    </row>
    <row r="272" spans="1:10">
      <c r="A272" s="1">
        <v>60000071</v>
      </c>
      <c r="B272" s="34" t="s">
        <v>474</v>
      </c>
      <c r="C272" s="34" t="s">
        <v>171</v>
      </c>
      <c r="D272" s="86">
        <v>140</v>
      </c>
      <c r="E272" s="86">
        <v>2</v>
      </c>
      <c r="F272" s="86">
        <v>5</v>
      </c>
      <c r="G272" s="86">
        <v>8</v>
      </c>
      <c r="H272" s="28" t="s">
        <v>15</v>
      </c>
      <c r="I272" s="28" t="s">
        <v>24</v>
      </c>
      <c r="J272" s="27" t="s">
        <v>33</v>
      </c>
    </row>
    <row r="273" spans="1:10">
      <c r="A273" s="1">
        <v>60000066</v>
      </c>
      <c r="B273" s="34" t="s">
        <v>475</v>
      </c>
      <c r="C273" s="90" t="s">
        <v>476</v>
      </c>
      <c r="D273" s="86">
        <v>152</v>
      </c>
      <c r="E273" s="86">
        <v>3</v>
      </c>
      <c r="F273" s="86">
        <v>5</v>
      </c>
      <c r="G273" s="86">
        <v>8</v>
      </c>
      <c r="H273" s="28" t="s">
        <v>15</v>
      </c>
      <c r="I273" s="28" t="s">
        <v>24</v>
      </c>
      <c r="J273" s="27" t="s">
        <v>33</v>
      </c>
    </row>
    <row r="274" spans="1:10">
      <c r="A274" s="1">
        <v>60000005</v>
      </c>
      <c r="B274" s="34" t="s">
        <v>477</v>
      </c>
      <c r="C274" s="34" t="s">
        <v>63</v>
      </c>
      <c r="D274" s="86">
        <v>178</v>
      </c>
      <c r="E274" s="86">
        <v>4</v>
      </c>
      <c r="F274" s="86">
        <v>7</v>
      </c>
      <c r="G274" s="86">
        <v>10.2</v>
      </c>
      <c r="H274" s="28" t="s">
        <v>15</v>
      </c>
      <c r="I274" s="28" t="s">
        <v>433</v>
      </c>
      <c r="J274" s="27" t="s">
        <v>33</v>
      </c>
    </row>
    <row r="275" spans="1:10">
      <c r="A275" s="1">
        <v>60001004</v>
      </c>
      <c r="B275" s="65" t="s">
        <v>478</v>
      </c>
      <c r="C275" s="90"/>
      <c r="D275" s="90">
        <v>185</v>
      </c>
      <c r="E275" s="90">
        <v>4</v>
      </c>
      <c r="F275" s="90">
        <v>8</v>
      </c>
      <c r="G275" s="90">
        <v>10.2</v>
      </c>
      <c r="H275" s="87" t="s">
        <v>15</v>
      </c>
      <c r="I275" s="87" t="s">
        <v>49</v>
      </c>
      <c r="J275" s="27" t="s">
        <v>33</v>
      </c>
    </row>
    <row r="276" spans="1:10">
      <c r="A276" s="1">
        <v>60000010</v>
      </c>
      <c r="B276" s="34" t="s">
        <v>479</v>
      </c>
      <c r="C276" s="90" t="s">
        <v>480</v>
      </c>
      <c r="D276" s="86">
        <v>200</v>
      </c>
      <c r="E276" s="86">
        <v>5</v>
      </c>
      <c r="F276" s="86">
        <v>8</v>
      </c>
      <c r="G276" s="86">
        <v>10.6</v>
      </c>
      <c r="H276" s="28" t="s">
        <v>15</v>
      </c>
      <c r="I276" s="28" t="s">
        <v>66</v>
      </c>
      <c r="J276" s="27" t="s">
        <v>33</v>
      </c>
    </row>
    <row r="277" spans="1:10">
      <c r="A277" s="1">
        <v>60000004</v>
      </c>
      <c r="B277" s="34" t="s">
        <v>481</v>
      </c>
      <c r="C277" s="34" t="s">
        <v>152</v>
      </c>
      <c r="D277" s="86">
        <v>174</v>
      </c>
      <c r="E277" s="86">
        <v>3</v>
      </c>
      <c r="F277" s="86">
        <v>6</v>
      </c>
      <c r="G277" s="86">
        <v>9.4</v>
      </c>
      <c r="J277" s="27" t="s">
        <v>33</v>
      </c>
    </row>
    <row r="278" spans="1:10">
      <c r="A278" s="28">
        <v>60000078</v>
      </c>
      <c r="B278" s="34" t="s">
        <v>482</v>
      </c>
      <c r="C278" s="34" t="s">
        <v>88</v>
      </c>
      <c r="D278" s="86">
        <v>182</v>
      </c>
      <c r="E278" s="86">
        <v>4</v>
      </c>
      <c r="F278" s="86">
        <v>8</v>
      </c>
      <c r="G278" s="86">
        <v>10.5</v>
      </c>
      <c r="J278" s="27" t="s">
        <v>33</v>
      </c>
    </row>
    <row r="279" spans="1:10">
      <c r="A279" s="1">
        <v>60001007</v>
      </c>
      <c r="B279" s="65" t="s">
        <v>483</v>
      </c>
      <c r="C279" s="80"/>
      <c r="D279" s="90">
        <v>185</v>
      </c>
      <c r="E279" s="90">
        <v>3</v>
      </c>
      <c r="F279" s="90">
        <v>8</v>
      </c>
      <c r="G279" s="90">
        <v>10.3</v>
      </c>
      <c r="H279" s="87" t="s">
        <v>15</v>
      </c>
      <c r="I279" s="28" t="s">
        <v>20</v>
      </c>
      <c r="J279" s="27" t="s">
        <v>33</v>
      </c>
    </row>
    <row r="280" spans="1:10">
      <c r="A280" s="1">
        <v>60000059</v>
      </c>
      <c r="B280" s="34" t="s">
        <v>484</v>
      </c>
      <c r="C280" s="34" t="s">
        <v>485</v>
      </c>
      <c r="D280" s="86">
        <v>160</v>
      </c>
      <c r="E280" s="86">
        <v>6</v>
      </c>
      <c r="F280" s="86">
        <v>8</v>
      </c>
      <c r="G280" s="86">
        <v>10.1</v>
      </c>
      <c r="H280" s="87" t="s">
        <v>15</v>
      </c>
      <c r="I280" s="28" t="s">
        <v>20</v>
      </c>
      <c r="J280" s="27" t="s">
        <v>33</v>
      </c>
    </row>
    <row r="281" spans="1:10">
      <c r="A281" s="1">
        <v>60000060</v>
      </c>
      <c r="B281" s="34" t="s">
        <v>486</v>
      </c>
      <c r="C281" s="34" t="s">
        <v>183</v>
      </c>
      <c r="D281" s="86">
        <v>184</v>
      </c>
      <c r="E281" s="86">
        <v>4</v>
      </c>
      <c r="F281" s="86">
        <v>6</v>
      </c>
      <c r="G281" s="86">
        <v>8</v>
      </c>
      <c r="H281" s="87" t="s">
        <v>15</v>
      </c>
      <c r="I281" s="87" t="s">
        <v>16</v>
      </c>
      <c r="J281" s="27" t="s">
        <v>33</v>
      </c>
    </row>
    <row r="282" spans="1:10">
      <c r="A282" s="1">
        <v>60000067</v>
      </c>
      <c r="B282" s="34" t="s">
        <v>487</v>
      </c>
      <c r="C282" s="90" t="s">
        <v>406</v>
      </c>
      <c r="D282" s="86">
        <v>180</v>
      </c>
      <c r="E282" s="86">
        <v>5</v>
      </c>
      <c r="F282" s="86">
        <v>7</v>
      </c>
      <c r="G282" s="86">
        <v>9.9</v>
      </c>
      <c r="H282" s="87" t="s">
        <v>15</v>
      </c>
      <c r="I282" s="28" t="s">
        <v>349</v>
      </c>
      <c r="J282" s="27" t="s">
        <v>33</v>
      </c>
    </row>
    <row r="283" spans="1:10">
      <c r="A283" s="28">
        <v>60000076</v>
      </c>
      <c r="B283" s="34" t="s">
        <v>488</v>
      </c>
      <c r="C283" s="34" t="s">
        <v>381</v>
      </c>
      <c r="D283" s="86">
        <v>154</v>
      </c>
      <c r="E283" s="86">
        <v>6</v>
      </c>
      <c r="F283" s="86">
        <v>9.6</v>
      </c>
      <c r="G283" s="86">
        <v>10.5</v>
      </c>
      <c r="H283" s="28" t="s">
        <v>15</v>
      </c>
      <c r="I283" s="28" t="s">
        <v>124</v>
      </c>
      <c r="J283" s="27" t="s">
        <v>33</v>
      </c>
    </row>
    <row r="284" spans="1:10">
      <c r="A284" s="1">
        <v>60000107</v>
      </c>
      <c r="B284" s="34" t="s">
        <v>489</v>
      </c>
      <c r="C284" s="34" t="s">
        <v>150</v>
      </c>
      <c r="D284" s="86">
        <v>165</v>
      </c>
      <c r="E284" s="86">
        <v>4</v>
      </c>
      <c r="F284" s="86">
        <v>8</v>
      </c>
      <c r="G284" s="86">
        <v>10.5</v>
      </c>
      <c r="H284" s="28" t="s">
        <v>15</v>
      </c>
      <c r="I284" s="28" t="s">
        <v>490</v>
      </c>
      <c r="J284" s="27" t="s">
        <v>33</v>
      </c>
    </row>
    <row r="285" spans="1:10">
      <c r="A285" s="1">
        <v>60000075</v>
      </c>
      <c r="B285" s="34" t="s">
        <v>491</v>
      </c>
      <c r="C285" s="34" t="s">
        <v>354</v>
      </c>
      <c r="D285" s="86">
        <v>182</v>
      </c>
      <c r="E285" s="86">
        <v>3</v>
      </c>
      <c r="F285" s="86">
        <v>7</v>
      </c>
      <c r="G285" s="86">
        <v>9.3</v>
      </c>
      <c r="H285" s="28" t="s">
        <v>15</v>
      </c>
      <c r="I285" s="28" t="s">
        <v>24</v>
      </c>
      <c r="J285" s="27" t="s">
        <v>33</v>
      </c>
    </row>
    <row r="286" spans="1:10">
      <c r="A286" s="1">
        <v>60000065</v>
      </c>
      <c r="B286" s="34" t="s">
        <v>492</v>
      </c>
      <c r="C286" s="90" t="s">
        <v>493</v>
      </c>
      <c r="D286" s="86">
        <v>180</v>
      </c>
      <c r="E286" s="86">
        <v>7</v>
      </c>
      <c r="F286" s="86">
        <v>9.5</v>
      </c>
      <c r="G286" s="86">
        <v>10.6</v>
      </c>
      <c r="H286" s="28" t="s">
        <v>15</v>
      </c>
      <c r="I286" s="28" t="s">
        <v>494</v>
      </c>
      <c r="J286" s="27" t="s">
        <v>33</v>
      </c>
    </row>
    <row r="287" spans="1:10">
      <c r="A287" s="1">
        <v>60000069</v>
      </c>
      <c r="B287" s="34" t="s">
        <v>495</v>
      </c>
      <c r="C287" s="90" t="s">
        <v>496</v>
      </c>
      <c r="D287" s="86">
        <v>170</v>
      </c>
      <c r="E287" s="86">
        <v>4</v>
      </c>
      <c r="F287" s="86">
        <v>7</v>
      </c>
      <c r="G287" s="86">
        <v>10.3</v>
      </c>
      <c r="J287" s="27" t="s">
        <v>33</v>
      </c>
    </row>
    <row r="288" spans="1:10">
      <c r="A288" s="83" t="s">
        <v>37</v>
      </c>
      <c r="B288" s="83"/>
      <c r="C288" s="83"/>
      <c r="D288" s="83"/>
      <c r="E288" s="83"/>
      <c r="F288" s="83"/>
      <c r="G288" s="83"/>
      <c r="H288" s="83"/>
      <c r="I288" s="83"/>
      <c r="J288" s="83"/>
    </row>
    <row r="289" spans="1:10">
      <c r="A289" s="1">
        <v>70000108</v>
      </c>
      <c r="B289" s="34" t="s">
        <v>497</v>
      </c>
      <c r="C289" s="34" t="s">
        <v>53</v>
      </c>
      <c r="D289" s="86">
        <v>210</v>
      </c>
      <c r="E289" s="86">
        <v>3</v>
      </c>
      <c r="F289" s="86">
        <v>6</v>
      </c>
      <c r="G289" s="86">
        <v>10.4</v>
      </c>
      <c r="J289" s="19" t="s">
        <v>37</v>
      </c>
    </row>
    <row r="290" spans="1:10">
      <c r="A290" s="1">
        <v>70000102</v>
      </c>
      <c r="B290" s="34" t="s">
        <v>498</v>
      </c>
      <c r="C290" s="34" t="s">
        <v>499</v>
      </c>
      <c r="D290" s="86">
        <v>138</v>
      </c>
      <c r="E290" s="86">
        <v>3</v>
      </c>
      <c r="F290" s="86">
        <v>6</v>
      </c>
      <c r="G290" s="86">
        <v>8</v>
      </c>
      <c r="H290" s="40" t="s">
        <v>15</v>
      </c>
      <c r="I290" s="28" t="s">
        <v>257</v>
      </c>
      <c r="J290" s="19" t="s">
        <v>37</v>
      </c>
    </row>
    <row r="291" spans="1:10">
      <c r="A291" s="1">
        <v>70000096</v>
      </c>
      <c r="B291" s="34" t="s">
        <v>500</v>
      </c>
      <c r="C291" s="34" t="s">
        <v>501</v>
      </c>
      <c r="D291" s="86">
        <v>200</v>
      </c>
      <c r="E291" s="86">
        <v>4</v>
      </c>
      <c r="F291" s="86">
        <v>9.2</v>
      </c>
      <c r="G291" s="86">
        <v>10.2</v>
      </c>
      <c r="J291" s="19" t="s">
        <v>37</v>
      </c>
    </row>
    <row r="292" spans="1:10">
      <c r="A292" s="28">
        <v>70000004</v>
      </c>
      <c r="B292" s="34" t="s">
        <v>502</v>
      </c>
      <c r="C292" s="34" t="s">
        <v>35</v>
      </c>
      <c r="D292" s="86">
        <v>145</v>
      </c>
      <c r="E292" s="86">
        <v>3</v>
      </c>
      <c r="F292" s="86">
        <v>6</v>
      </c>
      <c r="G292" s="86">
        <v>9.8</v>
      </c>
      <c r="J292" s="19" t="s">
        <v>37</v>
      </c>
    </row>
    <row r="293" spans="1:10">
      <c r="A293" s="1">
        <v>70000116</v>
      </c>
      <c r="B293" s="34" t="s">
        <v>503</v>
      </c>
      <c r="C293" s="34" t="s">
        <v>35</v>
      </c>
      <c r="D293" s="86">
        <v>175</v>
      </c>
      <c r="E293" s="86">
        <v>3</v>
      </c>
      <c r="F293" s="86">
        <v>7</v>
      </c>
      <c r="G293" s="86">
        <v>10.2</v>
      </c>
      <c r="H293" s="91" t="s">
        <v>15</v>
      </c>
      <c r="I293" s="28" t="s">
        <v>359</v>
      </c>
      <c r="J293" s="19" t="s">
        <v>37</v>
      </c>
    </row>
    <row r="294" spans="1:10">
      <c r="A294" s="1">
        <v>70000154</v>
      </c>
      <c r="B294" s="34" t="s">
        <v>504</v>
      </c>
      <c r="C294" s="90" t="s">
        <v>505</v>
      </c>
      <c r="D294" s="86">
        <v>158</v>
      </c>
      <c r="E294" s="86">
        <v>3</v>
      </c>
      <c r="F294" s="86">
        <v>7</v>
      </c>
      <c r="G294" s="86">
        <v>9</v>
      </c>
      <c r="H294" s="87" t="s">
        <v>15</v>
      </c>
      <c r="I294" s="87" t="s">
        <v>49</v>
      </c>
      <c r="J294" s="19" t="s">
        <v>37</v>
      </c>
    </row>
    <row r="295" spans="1:10">
      <c r="A295" s="1">
        <v>70000083</v>
      </c>
      <c r="B295" s="34" t="s">
        <v>506</v>
      </c>
      <c r="C295" s="34" t="s">
        <v>311</v>
      </c>
      <c r="D295" s="86">
        <v>190</v>
      </c>
      <c r="E295" s="86">
        <v>4</v>
      </c>
      <c r="F295" s="86">
        <v>7</v>
      </c>
      <c r="G295" s="86">
        <v>9.6</v>
      </c>
      <c r="H295" s="28" t="s">
        <v>15</v>
      </c>
      <c r="I295" s="28" t="s">
        <v>24</v>
      </c>
      <c r="J295" s="19" t="s">
        <v>37</v>
      </c>
    </row>
    <row r="296" spans="1:10">
      <c r="A296" s="1">
        <v>70000150</v>
      </c>
      <c r="B296" s="34" t="s">
        <v>507</v>
      </c>
      <c r="C296" s="90" t="s">
        <v>406</v>
      </c>
      <c r="D296" s="86">
        <v>170</v>
      </c>
      <c r="E296" s="86">
        <v>2</v>
      </c>
      <c r="F296" s="86">
        <v>6</v>
      </c>
      <c r="G296" s="86">
        <v>8</v>
      </c>
      <c r="H296" s="28" t="s">
        <v>15</v>
      </c>
      <c r="I296" s="28" t="s">
        <v>24</v>
      </c>
      <c r="J296" s="19" t="s">
        <v>37</v>
      </c>
    </row>
    <row r="297" spans="1:10">
      <c r="A297" s="1">
        <v>70000169</v>
      </c>
      <c r="B297" s="34" t="s">
        <v>508</v>
      </c>
      <c r="C297" s="34" t="s">
        <v>509</v>
      </c>
      <c r="D297" s="86">
        <v>200</v>
      </c>
      <c r="E297" s="86">
        <v>5</v>
      </c>
      <c r="F297" s="86">
        <v>9.6</v>
      </c>
      <c r="G297" s="86">
        <v>10.7</v>
      </c>
      <c r="H297" s="93" t="s">
        <v>15</v>
      </c>
      <c r="I297" s="28" t="s">
        <v>510</v>
      </c>
      <c r="J297" s="19" t="s">
        <v>37</v>
      </c>
    </row>
    <row r="298" spans="1:10">
      <c r="A298" s="1">
        <v>70000009</v>
      </c>
      <c r="B298" s="34" t="s">
        <v>511</v>
      </c>
      <c r="C298" s="34" t="s">
        <v>72</v>
      </c>
      <c r="D298" s="86">
        <v>185</v>
      </c>
      <c r="E298" s="86">
        <v>4</v>
      </c>
      <c r="F298" s="86">
        <v>7</v>
      </c>
      <c r="G298" s="86">
        <v>8</v>
      </c>
      <c r="H298" s="28" t="s">
        <v>15</v>
      </c>
      <c r="I298" s="28" t="s">
        <v>24</v>
      </c>
      <c r="J298" s="19" t="s">
        <v>37</v>
      </c>
    </row>
    <row r="299" spans="1:10">
      <c r="A299" s="1">
        <v>70000103</v>
      </c>
      <c r="B299" s="34" t="s">
        <v>512</v>
      </c>
      <c r="C299" s="34" t="s">
        <v>513</v>
      </c>
      <c r="D299" s="86">
        <v>195</v>
      </c>
      <c r="E299" s="86">
        <v>5</v>
      </c>
      <c r="F299" s="86">
        <v>7</v>
      </c>
      <c r="G299" s="86">
        <v>10.3</v>
      </c>
      <c r="J299" s="19" t="s">
        <v>37</v>
      </c>
    </row>
    <row r="300" spans="1:10">
      <c r="A300" s="1">
        <v>70000113</v>
      </c>
      <c r="B300" s="34" t="s">
        <v>514</v>
      </c>
      <c r="C300" s="34" t="s">
        <v>515</v>
      </c>
      <c r="D300" s="86">
        <v>170</v>
      </c>
      <c r="E300" s="86">
        <v>3</v>
      </c>
      <c r="F300" s="86">
        <v>6</v>
      </c>
      <c r="G300" s="86">
        <v>9.4</v>
      </c>
      <c r="H300" s="28" t="s">
        <v>15</v>
      </c>
      <c r="I300" s="28" t="s">
        <v>24</v>
      </c>
      <c r="J300" s="19" t="s">
        <v>37</v>
      </c>
    </row>
    <row r="301" spans="1:10">
      <c r="A301" s="1">
        <v>70000074</v>
      </c>
      <c r="B301" s="34" t="s">
        <v>516</v>
      </c>
      <c r="C301" s="34" t="s">
        <v>235</v>
      </c>
      <c r="D301" s="86">
        <v>150</v>
      </c>
      <c r="E301" s="86">
        <v>4</v>
      </c>
      <c r="F301" s="86">
        <v>8</v>
      </c>
      <c r="G301" s="86">
        <v>9.4</v>
      </c>
      <c r="H301" s="87" t="s">
        <v>15</v>
      </c>
      <c r="I301" s="87" t="s">
        <v>49</v>
      </c>
      <c r="J301" s="19" t="s">
        <v>37</v>
      </c>
    </row>
    <row r="302" spans="1:10">
      <c r="A302" s="1">
        <v>70000076</v>
      </c>
      <c r="B302" s="34" t="s">
        <v>517</v>
      </c>
      <c r="C302" s="90" t="s">
        <v>177</v>
      </c>
      <c r="D302" s="86">
        <v>158</v>
      </c>
      <c r="E302" s="86">
        <v>3</v>
      </c>
      <c r="F302" s="86">
        <v>6</v>
      </c>
      <c r="G302" s="86">
        <v>9.1</v>
      </c>
      <c r="H302" s="28" t="s">
        <v>15</v>
      </c>
      <c r="I302" s="28" t="s">
        <v>494</v>
      </c>
      <c r="J302" s="19" t="s">
        <v>37</v>
      </c>
    </row>
    <row r="303" spans="1:10">
      <c r="A303" s="1">
        <v>70000109</v>
      </c>
      <c r="B303" s="34" t="s">
        <v>518</v>
      </c>
      <c r="C303" s="34" t="s">
        <v>88</v>
      </c>
      <c r="D303" s="86">
        <v>188</v>
      </c>
      <c r="E303" s="86">
        <v>3</v>
      </c>
      <c r="F303" s="86">
        <v>8</v>
      </c>
      <c r="G303" s="86">
        <v>9.5</v>
      </c>
      <c r="J303" s="19" t="s">
        <v>37</v>
      </c>
    </row>
    <row r="304" spans="1:10">
      <c r="A304" s="1">
        <v>70000011</v>
      </c>
      <c r="B304" s="34" t="s">
        <v>519</v>
      </c>
      <c r="C304" s="34" t="s">
        <v>520</v>
      </c>
      <c r="D304" s="86">
        <v>197</v>
      </c>
      <c r="E304" s="86">
        <v>6</v>
      </c>
      <c r="F304" s="86">
        <v>9.3</v>
      </c>
      <c r="G304" s="86">
        <v>10.7</v>
      </c>
      <c r="H304" s="93" t="s">
        <v>15</v>
      </c>
      <c r="I304" s="28" t="s">
        <v>510</v>
      </c>
      <c r="J304" s="19" t="s">
        <v>37</v>
      </c>
    </row>
    <row r="305" spans="1:10">
      <c r="A305" s="1">
        <v>70000066</v>
      </c>
      <c r="B305" s="34" t="s">
        <v>521</v>
      </c>
      <c r="C305" s="90" t="s">
        <v>522</v>
      </c>
      <c r="D305" s="86">
        <v>165</v>
      </c>
      <c r="E305" s="86">
        <v>3</v>
      </c>
      <c r="F305" s="86">
        <v>7</v>
      </c>
      <c r="G305" s="86">
        <v>8</v>
      </c>
      <c r="H305" s="28" t="s">
        <v>15</v>
      </c>
      <c r="I305" s="28" t="s">
        <v>24</v>
      </c>
      <c r="J305" s="19" t="s">
        <v>37</v>
      </c>
    </row>
    <row r="306" spans="1:10">
      <c r="A306" s="1">
        <v>70000093</v>
      </c>
      <c r="B306" s="34" t="s">
        <v>523</v>
      </c>
      <c r="C306" s="34" t="s">
        <v>524</v>
      </c>
      <c r="D306" s="86">
        <v>191</v>
      </c>
      <c r="E306" s="86">
        <v>3</v>
      </c>
      <c r="F306" s="86">
        <v>6</v>
      </c>
      <c r="G306" s="86">
        <v>10.4</v>
      </c>
      <c r="H306" s="28" t="s">
        <v>15</v>
      </c>
      <c r="I306" s="28" t="s">
        <v>289</v>
      </c>
      <c r="J306" s="19" t="s">
        <v>37</v>
      </c>
    </row>
    <row r="307" spans="1:10">
      <c r="A307" s="1">
        <v>70000118</v>
      </c>
      <c r="B307" s="34" t="s">
        <v>525</v>
      </c>
      <c r="C307" s="34" t="s">
        <v>526</v>
      </c>
      <c r="D307" s="86">
        <v>186</v>
      </c>
      <c r="E307" s="86">
        <v>5</v>
      </c>
      <c r="F307" s="86">
        <v>8</v>
      </c>
      <c r="G307" s="86">
        <v>10.3</v>
      </c>
      <c r="J307" s="19" t="s">
        <v>37</v>
      </c>
    </row>
    <row r="308" spans="1:10">
      <c r="A308" s="1">
        <v>70000007</v>
      </c>
      <c r="B308" s="34" t="s">
        <v>527</v>
      </c>
      <c r="C308" s="34" t="s">
        <v>215</v>
      </c>
      <c r="D308" s="86">
        <v>160</v>
      </c>
      <c r="E308" s="86">
        <v>4</v>
      </c>
      <c r="F308" s="86">
        <v>7</v>
      </c>
      <c r="G308" s="86">
        <v>9.4</v>
      </c>
      <c r="H308" s="28" t="s">
        <v>15</v>
      </c>
      <c r="I308" s="28" t="s">
        <v>24</v>
      </c>
      <c r="J308" s="19" t="s">
        <v>37</v>
      </c>
    </row>
    <row r="309" spans="1:10">
      <c r="A309" s="1">
        <v>70000104</v>
      </c>
      <c r="B309" s="34" t="s">
        <v>528</v>
      </c>
      <c r="C309" s="34" t="s">
        <v>224</v>
      </c>
      <c r="D309" s="86">
        <v>156</v>
      </c>
      <c r="E309" s="86">
        <v>4</v>
      </c>
      <c r="F309" s="86">
        <v>6</v>
      </c>
      <c r="G309" s="86">
        <v>9.8</v>
      </c>
      <c r="H309" s="28" t="s">
        <v>15</v>
      </c>
      <c r="I309" s="28" t="s">
        <v>24</v>
      </c>
      <c r="J309" s="19" t="s">
        <v>37</v>
      </c>
    </row>
    <row r="310" spans="1:10">
      <c r="A310" s="1">
        <v>70000120</v>
      </c>
      <c r="B310" s="34" t="s">
        <v>529</v>
      </c>
      <c r="C310" s="90" t="s">
        <v>530</v>
      </c>
      <c r="D310" s="86">
        <v>165</v>
      </c>
      <c r="E310" s="86">
        <v>5</v>
      </c>
      <c r="F310" s="86">
        <v>9.7</v>
      </c>
      <c r="G310" s="86">
        <v>10.7</v>
      </c>
      <c r="J310" s="19" t="s">
        <v>37</v>
      </c>
    </row>
    <row r="311" spans="1:10">
      <c r="A311" s="1">
        <v>70000117</v>
      </c>
      <c r="B311" s="34" t="s">
        <v>531</v>
      </c>
      <c r="C311" s="34" t="s">
        <v>520</v>
      </c>
      <c r="D311" s="86">
        <v>205</v>
      </c>
      <c r="E311" s="86">
        <v>4</v>
      </c>
      <c r="F311" s="86">
        <v>7</v>
      </c>
      <c r="G311" s="86">
        <v>9.5</v>
      </c>
      <c r="H311" s="28" t="s">
        <v>15</v>
      </c>
      <c r="I311" s="28" t="s">
        <v>24</v>
      </c>
      <c r="J311" s="19" t="s">
        <v>37</v>
      </c>
    </row>
    <row r="312" spans="1:10">
      <c r="A312" s="1">
        <v>70000136</v>
      </c>
      <c r="B312" s="34" t="s">
        <v>532</v>
      </c>
      <c r="C312" s="34" t="s">
        <v>65</v>
      </c>
      <c r="D312" s="86">
        <v>183</v>
      </c>
      <c r="E312" s="86">
        <v>4</v>
      </c>
      <c r="F312" s="86">
        <v>8</v>
      </c>
      <c r="G312" s="86">
        <v>9.3</v>
      </c>
      <c r="J312" s="19" t="s">
        <v>37</v>
      </c>
    </row>
    <row r="313" spans="1:10">
      <c r="A313" s="1">
        <v>70000110</v>
      </c>
      <c r="B313" s="34" t="s">
        <v>533</v>
      </c>
      <c r="C313" s="34" t="s">
        <v>534</v>
      </c>
      <c r="D313" s="86">
        <v>180</v>
      </c>
      <c r="E313" s="86">
        <v>10.4</v>
      </c>
      <c r="F313" s="86">
        <v>10.5</v>
      </c>
      <c r="G313" s="86">
        <v>10.7</v>
      </c>
      <c r="H313" s="87" t="s">
        <v>15</v>
      </c>
      <c r="I313" s="87" t="s">
        <v>49</v>
      </c>
      <c r="J313" s="19" t="s">
        <v>37</v>
      </c>
    </row>
    <row r="314" spans="1:10">
      <c r="A314" s="1">
        <v>70000010</v>
      </c>
      <c r="B314" s="34" t="s">
        <v>535</v>
      </c>
      <c r="C314" s="90" t="s">
        <v>445</v>
      </c>
      <c r="D314" s="86" t="s">
        <v>536</v>
      </c>
      <c r="E314" s="86">
        <v>5</v>
      </c>
      <c r="F314" s="86">
        <v>8</v>
      </c>
      <c r="G314" s="86">
        <v>9.6</v>
      </c>
      <c r="H314" s="28" t="s">
        <v>15</v>
      </c>
      <c r="I314" s="28" t="s">
        <v>24</v>
      </c>
      <c r="J314" s="19" t="s">
        <v>37</v>
      </c>
    </row>
    <row r="315" spans="1:10">
      <c r="A315" s="1">
        <v>70000112</v>
      </c>
      <c r="B315" s="34" t="s">
        <v>537</v>
      </c>
      <c r="C315" s="34" t="s">
        <v>538</v>
      </c>
      <c r="D315" s="86">
        <v>190</v>
      </c>
      <c r="E315" s="86">
        <v>4</v>
      </c>
      <c r="F315" s="86">
        <v>9.4</v>
      </c>
      <c r="G315" s="86">
        <v>10.5</v>
      </c>
      <c r="J315" s="19" t="s">
        <v>37</v>
      </c>
    </row>
    <row r="316" spans="1:10">
      <c r="A316" s="1">
        <v>70000077</v>
      </c>
      <c r="B316" s="34" t="s">
        <v>539</v>
      </c>
      <c r="C316" s="90" t="s">
        <v>540</v>
      </c>
      <c r="D316" s="86">
        <v>158</v>
      </c>
      <c r="E316" s="86">
        <v>3</v>
      </c>
      <c r="F316" s="86">
        <v>7</v>
      </c>
      <c r="G316" s="86">
        <v>8</v>
      </c>
      <c r="H316" s="28" t="s">
        <v>15</v>
      </c>
      <c r="I316" s="28" t="s">
        <v>410</v>
      </c>
      <c r="J316" s="19" t="s">
        <v>37</v>
      </c>
    </row>
    <row r="317" spans="1:10">
      <c r="A317" s="1">
        <v>70000164</v>
      </c>
      <c r="B317" s="34" t="s">
        <v>541</v>
      </c>
      <c r="C317" s="34" t="s">
        <v>542</v>
      </c>
      <c r="D317" s="86" t="s">
        <v>543</v>
      </c>
      <c r="E317" s="86">
        <v>4</v>
      </c>
      <c r="F317" s="86">
        <v>6</v>
      </c>
      <c r="G317" s="86">
        <v>9.6</v>
      </c>
      <c r="J317" s="19" t="s">
        <v>37</v>
      </c>
    </row>
    <row r="318" spans="1:10">
      <c r="A318" s="1">
        <v>70000135</v>
      </c>
      <c r="B318" s="34" t="s">
        <v>544</v>
      </c>
      <c r="C318" s="34" t="s">
        <v>545</v>
      </c>
      <c r="D318" s="86">
        <v>185</v>
      </c>
      <c r="E318" s="86">
        <v>4</v>
      </c>
      <c r="F318" s="86">
        <v>8</v>
      </c>
      <c r="G318" s="86">
        <v>10.1</v>
      </c>
      <c r="H318" s="91" t="s">
        <v>15</v>
      </c>
      <c r="I318" s="28" t="s">
        <v>359</v>
      </c>
      <c r="J318" s="19" t="s">
        <v>37</v>
      </c>
    </row>
    <row r="319" spans="1:10">
      <c r="A319" s="1">
        <v>70000177</v>
      </c>
      <c r="B319" s="34" t="s">
        <v>546</v>
      </c>
      <c r="C319" s="90" t="s">
        <v>547</v>
      </c>
      <c r="D319" s="86">
        <v>170</v>
      </c>
      <c r="E319" s="86">
        <v>3</v>
      </c>
      <c r="F319" s="86">
        <v>7</v>
      </c>
      <c r="G319" s="86">
        <v>9.7</v>
      </c>
      <c r="J319" s="19" t="s">
        <v>37</v>
      </c>
    </row>
    <row r="320" spans="1:10">
      <c r="A320" s="1">
        <v>70000005</v>
      </c>
      <c r="B320" s="34" t="s">
        <v>548</v>
      </c>
      <c r="C320" s="34" t="s">
        <v>549</v>
      </c>
      <c r="D320" s="86">
        <v>187</v>
      </c>
      <c r="E320" s="86">
        <v>5</v>
      </c>
      <c r="F320" s="86">
        <v>8</v>
      </c>
      <c r="G320" s="86">
        <v>10.4</v>
      </c>
      <c r="H320" s="87" t="s">
        <v>15</v>
      </c>
      <c r="I320" s="87" t="s">
        <v>16</v>
      </c>
      <c r="J320" s="19" t="s">
        <v>37</v>
      </c>
    </row>
    <row r="321" spans="1:10">
      <c r="A321" s="1">
        <v>70000095</v>
      </c>
      <c r="B321" s="34" t="s">
        <v>550</v>
      </c>
      <c r="C321" s="34" t="s">
        <v>551</v>
      </c>
      <c r="D321" s="86">
        <v>154</v>
      </c>
      <c r="E321" s="86">
        <v>5</v>
      </c>
      <c r="F321" s="86">
        <v>9.4</v>
      </c>
      <c r="G321" s="86">
        <v>10.4</v>
      </c>
      <c r="J321" s="19" t="s">
        <v>37</v>
      </c>
    </row>
    <row r="322" spans="1:10">
      <c r="A322" s="1">
        <v>70000173</v>
      </c>
      <c r="B322" s="34" t="s">
        <v>552</v>
      </c>
      <c r="C322" s="34" t="s">
        <v>553</v>
      </c>
      <c r="D322" s="86">
        <v>153</v>
      </c>
      <c r="E322" s="86">
        <v>4</v>
      </c>
      <c r="F322" s="86">
        <v>10.6</v>
      </c>
      <c r="G322" s="86">
        <v>10.6</v>
      </c>
      <c r="J322" s="19" t="s">
        <v>37</v>
      </c>
    </row>
    <row r="323" spans="1:10">
      <c r="A323" s="1">
        <v>70000138</v>
      </c>
      <c r="B323" s="34" t="s">
        <v>554</v>
      </c>
      <c r="C323" s="34" t="s">
        <v>555</v>
      </c>
      <c r="D323" s="86">
        <v>170</v>
      </c>
      <c r="E323" s="86">
        <v>3</v>
      </c>
      <c r="F323" s="86">
        <v>7</v>
      </c>
      <c r="G323" s="86">
        <v>9.4</v>
      </c>
      <c r="H323" s="28" t="s">
        <v>15</v>
      </c>
      <c r="I323" s="28" t="s">
        <v>24</v>
      </c>
      <c r="J323" s="19" t="s">
        <v>37</v>
      </c>
    </row>
    <row r="324" spans="1:10">
      <c r="A324" s="1">
        <v>70000094</v>
      </c>
      <c r="B324" s="34" t="s">
        <v>556</v>
      </c>
      <c r="C324" s="34" t="s">
        <v>557</v>
      </c>
      <c r="D324" s="86">
        <v>151</v>
      </c>
      <c r="E324" s="86">
        <v>4</v>
      </c>
      <c r="F324" s="86">
        <v>8</v>
      </c>
      <c r="G324" s="86">
        <v>10.6</v>
      </c>
      <c r="J324" s="19" t="s">
        <v>37</v>
      </c>
    </row>
    <row r="325" spans="1:10">
      <c r="A325" s="1">
        <v>70000105</v>
      </c>
      <c r="B325" s="34" t="s">
        <v>558</v>
      </c>
      <c r="C325" s="34" t="s">
        <v>465</v>
      </c>
      <c r="D325" s="86">
        <v>185</v>
      </c>
      <c r="E325" s="86">
        <v>5</v>
      </c>
      <c r="F325" s="86">
        <v>8</v>
      </c>
      <c r="G325" s="86">
        <v>10.4</v>
      </c>
      <c r="J325" s="19" t="s">
        <v>37</v>
      </c>
    </row>
    <row r="326" spans="1:10">
      <c r="A326" s="1">
        <v>70000098</v>
      </c>
      <c r="B326" s="34" t="s">
        <v>559</v>
      </c>
      <c r="C326" s="90" t="s">
        <v>560</v>
      </c>
      <c r="D326" s="86">
        <v>216</v>
      </c>
      <c r="E326" s="86">
        <v>6</v>
      </c>
      <c r="F326" s="86">
        <v>9.2</v>
      </c>
      <c r="G326" s="86">
        <v>10.4</v>
      </c>
      <c r="H326" s="87" t="s">
        <v>15</v>
      </c>
      <c r="I326" s="87" t="s">
        <v>49</v>
      </c>
      <c r="J326" s="19" t="s">
        <v>37</v>
      </c>
    </row>
    <row r="327" spans="1:10">
      <c r="A327" s="1">
        <v>70000106</v>
      </c>
      <c r="B327" s="34" t="s">
        <v>561</v>
      </c>
      <c r="C327" s="34" t="s">
        <v>562</v>
      </c>
      <c r="D327" s="86">
        <v>180</v>
      </c>
      <c r="E327" s="86">
        <v>3</v>
      </c>
      <c r="F327" s="86">
        <v>7</v>
      </c>
      <c r="G327" s="86">
        <v>9.4</v>
      </c>
      <c r="H327" s="28" t="s">
        <v>15</v>
      </c>
      <c r="I327" s="28" t="s">
        <v>24</v>
      </c>
      <c r="J327" s="19" t="s">
        <v>37</v>
      </c>
    </row>
    <row r="328" spans="1:10">
      <c r="A328" s="1">
        <v>70000002</v>
      </c>
      <c r="B328" s="34" t="s">
        <v>563</v>
      </c>
      <c r="C328" s="90" t="s">
        <v>564</v>
      </c>
      <c r="D328" s="86">
        <v>160</v>
      </c>
      <c r="E328" s="86">
        <v>3</v>
      </c>
      <c r="F328" s="86">
        <v>7</v>
      </c>
      <c r="G328" s="86">
        <v>9.3</v>
      </c>
      <c r="H328" s="28" t="s">
        <v>15</v>
      </c>
      <c r="I328" s="28" t="s">
        <v>394</v>
      </c>
      <c r="J328" s="19" t="s">
        <v>37</v>
      </c>
    </row>
    <row r="329" spans="1:10">
      <c r="A329" s="1">
        <v>70000180</v>
      </c>
      <c r="B329" s="34" t="s">
        <v>565</v>
      </c>
      <c r="C329" s="34" t="s">
        <v>183</v>
      </c>
      <c r="D329" s="86">
        <v>186</v>
      </c>
      <c r="E329" s="86">
        <v>6</v>
      </c>
      <c r="F329" s="86">
        <v>9.1</v>
      </c>
      <c r="G329" s="86">
        <v>10.5</v>
      </c>
      <c r="H329" s="87" t="s">
        <v>15</v>
      </c>
      <c r="I329" s="87" t="s">
        <v>20</v>
      </c>
      <c r="J329" s="19" t="s">
        <v>37</v>
      </c>
    </row>
    <row r="330" spans="1:10">
      <c r="A330" s="1">
        <v>70000114</v>
      </c>
      <c r="B330" s="34" t="s">
        <v>566</v>
      </c>
      <c r="C330" s="34" t="s">
        <v>567</v>
      </c>
      <c r="D330" s="86">
        <v>128</v>
      </c>
      <c r="E330" s="86">
        <v>3</v>
      </c>
      <c r="F330" s="86">
        <v>7</v>
      </c>
      <c r="G330" s="86">
        <v>9.7</v>
      </c>
      <c r="J330" s="19" t="s">
        <v>37</v>
      </c>
    </row>
    <row r="331" spans="1:10">
      <c r="A331" s="28">
        <v>70001007</v>
      </c>
      <c r="B331" s="65" t="s">
        <v>568</v>
      </c>
      <c r="C331" s="34"/>
      <c r="D331" s="90">
        <v>180</v>
      </c>
      <c r="E331" s="90">
        <v>4</v>
      </c>
      <c r="F331" s="90">
        <v>7</v>
      </c>
      <c r="G331" s="90">
        <v>9.3</v>
      </c>
      <c r="J331" s="19" t="s">
        <v>37</v>
      </c>
    </row>
    <row r="332" spans="1:10">
      <c r="A332" s="28">
        <v>70000097</v>
      </c>
      <c r="B332" s="34" t="s">
        <v>569</v>
      </c>
      <c r="C332" s="34" t="s">
        <v>105</v>
      </c>
      <c r="D332" s="86">
        <v>180</v>
      </c>
      <c r="E332" s="86">
        <v>4</v>
      </c>
      <c r="F332" s="86">
        <v>8</v>
      </c>
      <c r="G332" s="86">
        <v>10.4</v>
      </c>
      <c r="J332" s="19" t="s">
        <v>37</v>
      </c>
    </row>
    <row r="333" spans="1:10">
      <c r="A333" s="28">
        <v>70000171</v>
      </c>
      <c r="B333" s="34" t="s">
        <v>570</v>
      </c>
      <c r="C333" s="34" t="s">
        <v>571</v>
      </c>
      <c r="D333" s="86">
        <v>185</v>
      </c>
      <c r="E333" s="86">
        <v>4</v>
      </c>
      <c r="F333" s="86">
        <v>8</v>
      </c>
      <c r="G333" s="86">
        <v>10</v>
      </c>
      <c r="J333" s="19" t="s">
        <v>37</v>
      </c>
    </row>
    <row r="334" spans="1:10">
      <c r="A334" s="1">
        <v>70000139</v>
      </c>
      <c r="B334" s="34" t="s">
        <v>572</v>
      </c>
      <c r="C334" s="34" t="s">
        <v>436</v>
      </c>
      <c r="D334" s="86">
        <v>160</v>
      </c>
      <c r="E334" s="86">
        <v>3</v>
      </c>
      <c r="F334" s="86">
        <v>7</v>
      </c>
      <c r="G334" s="86">
        <v>8</v>
      </c>
      <c r="H334" s="28" t="s">
        <v>15</v>
      </c>
      <c r="I334" s="28" t="s">
        <v>24</v>
      </c>
      <c r="J334" s="19" t="s">
        <v>37</v>
      </c>
    </row>
    <row r="335" spans="1:10">
      <c r="A335" s="1">
        <v>70000170</v>
      </c>
      <c r="B335" s="34" t="s">
        <v>573</v>
      </c>
      <c r="C335" s="34" t="s">
        <v>574</v>
      </c>
      <c r="D335" s="86">
        <v>200</v>
      </c>
      <c r="E335" s="86">
        <v>3</v>
      </c>
      <c r="F335" s="86">
        <v>5</v>
      </c>
      <c r="G335" s="86">
        <v>8</v>
      </c>
      <c r="H335" s="92" t="s">
        <v>15</v>
      </c>
      <c r="I335" s="28" t="s">
        <v>429</v>
      </c>
      <c r="J335" s="19" t="s">
        <v>37</v>
      </c>
    </row>
    <row r="336" spans="1:10">
      <c r="A336" s="1">
        <v>70000140</v>
      </c>
      <c r="B336" s="34" t="s">
        <v>575</v>
      </c>
      <c r="C336" s="34" t="s">
        <v>576</v>
      </c>
      <c r="D336" s="86">
        <v>180</v>
      </c>
      <c r="E336" s="86">
        <v>3</v>
      </c>
      <c r="F336" s="86">
        <v>6</v>
      </c>
      <c r="G336" s="86">
        <v>8</v>
      </c>
      <c r="H336" s="28" t="s">
        <v>15</v>
      </c>
      <c r="I336" s="28" t="s">
        <v>577</v>
      </c>
      <c r="J336" s="19" t="s">
        <v>37</v>
      </c>
    </row>
    <row r="337" spans="1:10">
      <c r="A337" s="1">
        <v>70000146</v>
      </c>
      <c r="B337" s="34" t="s">
        <v>578</v>
      </c>
      <c r="C337" s="90" t="s">
        <v>579</v>
      </c>
      <c r="D337" s="86">
        <v>182</v>
      </c>
      <c r="E337" s="86">
        <v>3</v>
      </c>
      <c r="F337" s="86">
        <v>7</v>
      </c>
      <c r="G337" s="86">
        <v>9.3</v>
      </c>
      <c r="H337" s="91" t="s">
        <v>15</v>
      </c>
      <c r="I337" s="28" t="s">
        <v>359</v>
      </c>
      <c r="J337" s="19" t="s">
        <v>37</v>
      </c>
    </row>
    <row r="338" spans="1:10">
      <c r="A338" s="1">
        <v>70000141</v>
      </c>
      <c r="B338" s="34" t="s">
        <v>580</v>
      </c>
      <c r="C338" s="34" t="s">
        <v>117</v>
      </c>
      <c r="D338" s="86">
        <v>164</v>
      </c>
      <c r="E338" s="86">
        <v>4</v>
      </c>
      <c r="F338" s="86">
        <v>7</v>
      </c>
      <c r="G338" s="86">
        <v>9.6</v>
      </c>
      <c r="J338" s="19" t="s">
        <v>37</v>
      </c>
    </row>
    <row r="339" spans="1:10">
      <c r="A339" s="1">
        <v>70000163</v>
      </c>
      <c r="B339" s="34" t="s">
        <v>581</v>
      </c>
      <c r="C339" s="34" t="s">
        <v>582</v>
      </c>
      <c r="D339" s="86">
        <v>162</v>
      </c>
      <c r="E339" s="86">
        <v>3</v>
      </c>
      <c r="F339" s="86">
        <v>6</v>
      </c>
      <c r="G339" s="86">
        <v>8</v>
      </c>
      <c r="H339" s="87" t="s">
        <v>15</v>
      </c>
      <c r="I339" s="87" t="s">
        <v>20</v>
      </c>
      <c r="J339" s="19" t="s">
        <v>37</v>
      </c>
    </row>
    <row r="340" spans="1:10">
      <c r="A340" s="1">
        <v>70000143</v>
      </c>
      <c r="B340" s="34" t="s">
        <v>583</v>
      </c>
      <c r="C340" s="34" t="s">
        <v>152</v>
      </c>
      <c r="D340" s="86">
        <v>164</v>
      </c>
      <c r="E340" s="86">
        <v>3</v>
      </c>
      <c r="F340" s="86">
        <v>6</v>
      </c>
      <c r="G340" s="86">
        <v>8</v>
      </c>
      <c r="H340" s="67" t="s">
        <v>15</v>
      </c>
      <c r="I340" s="28" t="s">
        <v>584</v>
      </c>
      <c r="J340" s="19" t="s">
        <v>37</v>
      </c>
    </row>
    <row r="341" spans="1:10">
      <c r="A341" s="1">
        <v>70000144</v>
      </c>
      <c r="B341" s="34" t="s">
        <v>585</v>
      </c>
      <c r="C341" s="34" t="s">
        <v>586</v>
      </c>
      <c r="D341" s="86">
        <v>175</v>
      </c>
      <c r="E341" s="86">
        <v>3</v>
      </c>
      <c r="F341" s="86">
        <v>6</v>
      </c>
      <c r="G341" s="86">
        <v>9</v>
      </c>
      <c r="H341" s="67" t="s">
        <v>15</v>
      </c>
      <c r="I341" s="28" t="s">
        <v>584</v>
      </c>
      <c r="J341" s="19" t="s">
        <v>37</v>
      </c>
    </row>
    <row r="342" spans="1:10">
      <c r="A342" s="1">
        <v>70000174</v>
      </c>
      <c r="B342" s="34" t="s">
        <v>587</v>
      </c>
      <c r="C342" s="34" t="s">
        <v>588</v>
      </c>
      <c r="D342" s="86">
        <v>158</v>
      </c>
      <c r="E342" s="86">
        <v>3</v>
      </c>
      <c r="F342" s="86">
        <v>6</v>
      </c>
      <c r="G342" s="86">
        <v>8</v>
      </c>
      <c r="H342" s="91" t="s">
        <v>15</v>
      </c>
      <c r="I342" s="28" t="s">
        <v>359</v>
      </c>
      <c r="J342" s="19" t="s">
        <v>37</v>
      </c>
    </row>
    <row r="343" spans="1:10">
      <c r="A343" s="1">
        <v>70000133</v>
      </c>
      <c r="B343" s="34" t="s">
        <v>589</v>
      </c>
      <c r="C343" s="34" t="s">
        <v>354</v>
      </c>
      <c r="D343" s="86">
        <v>186</v>
      </c>
      <c r="E343" s="86">
        <v>3</v>
      </c>
      <c r="F343" s="86">
        <v>7</v>
      </c>
      <c r="G343" s="86">
        <v>9.6</v>
      </c>
      <c r="J343" s="19" t="s">
        <v>37</v>
      </c>
    </row>
    <row r="344" spans="1:10">
      <c r="A344" s="1">
        <v>70000142</v>
      </c>
      <c r="B344" s="34" t="s">
        <v>590</v>
      </c>
      <c r="C344" s="90" t="s">
        <v>591</v>
      </c>
      <c r="D344" s="86">
        <v>200</v>
      </c>
      <c r="E344" s="86">
        <v>5</v>
      </c>
      <c r="F344" s="86">
        <v>9.1</v>
      </c>
      <c r="G344" s="86">
        <v>10</v>
      </c>
      <c r="J344" s="19" t="s">
        <v>37</v>
      </c>
    </row>
    <row r="345" spans="1:10">
      <c r="A345" s="1">
        <v>70000075</v>
      </c>
      <c r="B345" s="34" t="s">
        <v>592</v>
      </c>
      <c r="C345" s="34" t="s">
        <v>447</v>
      </c>
      <c r="D345" s="86">
        <v>140</v>
      </c>
      <c r="E345" s="86">
        <v>5</v>
      </c>
      <c r="F345" s="86">
        <v>8</v>
      </c>
      <c r="G345" s="86">
        <v>9.8</v>
      </c>
      <c r="H345" s="28" t="s">
        <v>15</v>
      </c>
      <c r="I345" s="28" t="s">
        <v>24</v>
      </c>
      <c r="J345" s="19" t="s">
        <v>37</v>
      </c>
    </row>
    <row r="346" spans="1:10">
      <c r="A346" s="1">
        <v>70000134</v>
      </c>
      <c r="B346" s="34" t="s">
        <v>593</v>
      </c>
      <c r="C346" s="90" t="s">
        <v>594</v>
      </c>
      <c r="D346" s="86">
        <v>161</v>
      </c>
      <c r="E346" s="86">
        <v>4</v>
      </c>
      <c r="F346" s="86">
        <v>8</v>
      </c>
      <c r="G346" s="86">
        <v>10.2</v>
      </c>
      <c r="H346" s="28" t="s">
        <v>15</v>
      </c>
      <c r="I346" s="28" t="s">
        <v>66</v>
      </c>
      <c r="J346" s="19" t="s">
        <v>37</v>
      </c>
    </row>
    <row r="347" spans="1:10">
      <c r="A347" s="1">
        <v>70000147</v>
      </c>
      <c r="B347" s="34" t="s">
        <v>595</v>
      </c>
      <c r="C347" s="90" t="s">
        <v>596</v>
      </c>
      <c r="D347" s="86">
        <v>200</v>
      </c>
      <c r="E347" s="86">
        <v>4</v>
      </c>
      <c r="F347" s="86">
        <v>8</v>
      </c>
      <c r="G347" s="86">
        <v>9.6</v>
      </c>
      <c r="H347" s="28" t="s">
        <v>15</v>
      </c>
      <c r="I347" s="28" t="s">
        <v>289</v>
      </c>
      <c r="J347" s="19" t="s">
        <v>37</v>
      </c>
    </row>
    <row r="348" spans="1:10">
      <c r="A348" s="1">
        <v>70000161</v>
      </c>
      <c r="B348" s="34" t="s">
        <v>597</v>
      </c>
      <c r="C348" s="34" t="s">
        <v>117</v>
      </c>
      <c r="D348" s="86">
        <v>160</v>
      </c>
      <c r="E348" s="86">
        <v>2</v>
      </c>
      <c r="F348" s="86">
        <v>7</v>
      </c>
      <c r="G348" s="86">
        <v>9.2</v>
      </c>
      <c r="H348" s="87" t="s">
        <v>15</v>
      </c>
      <c r="I348" s="87" t="s">
        <v>16</v>
      </c>
      <c r="J348" s="19" t="s">
        <v>37</v>
      </c>
    </row>
    <row r="349" spans="1:10">
      <c r="A349" s="1">
        <v>70000181</v>
      </c>
      <c r="B349" s="34" t="s">
        <v>598</v>
      </c>
      <c r="C349" s="34" t="s">
        <v>183</v>
      </c>
      <c r="D349" s="86">
        <v>174</v>
      </c>
      <c r="E349" s="86">
        <v>3</v>
      </c>
      <c r="F349" s="86">
        <v>8</v>
      </c>
      <c r="G349" s="86">
        <v>9.7</v>
      </c>
      <c r="H349" s="28" t="s">
        <v>15</v>
      </c>
      <c r="I349" s="28" t="s">
        <v>24</v>
      </c>
      <c r="J349" s="19" t="s">
        <v>37</v>
      </c>
    </row>
    <row r="350" spans="1:10">
      <c r="A350" s="1">
        <v>70000068</v>
      </c>
      <c r="B350" s="34" t="s">
        <v>599</v>
      </c>
      <c r="C350" s="34" t="s">
        <v>354</v>
      </c>
      <c r="D350" s="86">
        <v>210</v>
      </c>
      <c r="E350" s="86">
        <v>4</v>
      </c>
      <c r="F350" s="86">
        <v>6</v>
      </c>
      <c r="G350" s="86">
        <v>8</v>
      </c>
      <c r="H350" s="28" t="s">
        <v>15</v>
      </c>
      <c r="I350" s="28" t="s">
        <v>410</v>
      </c>
      <c r="J350" s="19" t="s">
        <v>37</v>
      </c>
    </row>
    <row r="351" spans="1:10">
      <c r="A351" s="1">
        <v>70000145</v>
      </c>
      <c r="B351" s="34" t="s">
        <v>600</v>
      </c>
      <c r="C351" s="34" t="s">
        <v>601</v>
      </c>
      <c r="D351" s="86">
        <v>148</v>
      </c>
      <c r="E351" s="86">
        <v>5</v>
      </c>
      <c r="F351" s="86">
        <v>8</v>
      </c>
      <c r="G351" s="86">
        <v>10.3</v>
      </c>
      <c r="H351" s="67" t="s">
        <v>15</v>
      </c>
      <c r="I351" s="28" t="s">
        <v>584</v>
      </c>
      <c r="J351" s="19" t="s">
        <v>37</v>
      </c>
    </row>
    <row r="352" spans="1:10">
      <c r="A352" s="1">
        <v>70000115</v>
      </c>
      <c r="B352" s="34" t="s">
        <v>602</v>
      </c>
      <c r="C352" s="90" t="s">
        <v>603</v>
      </c>
      <c r="D352" s="86" t="s">
        <v>604</v>
      </c>
      <c r="E352" s="86">
        <v>3</v>
      </c>
      <c r="F352" s="86">
        <v>6</v>
      </c>
      <c r="G352" s="86">
        <v>8</v>
      </c>
      <c r="H352" s="28" t="s">
        <v>15</v>
      </c>
      <c r="I352" s="28" t="s">
        <v>490</v>
      </c>
      <c r="J352" s="19" t="s">
        <v>37</v>
      </c>
    </row>
    <row r="353" spans="1:10">
      <c r="A353" s="1">
        <v>70000172</v>
      </c>
      <c r="B353" s="34" t="s">
        <v>605</v>
      </c>
      <c r="C353" s="90" t="s">
        <v>606</v>
      </c>
      <c r="D353" s="86">
        <v>180</v>
      </c>
      <c r="E353" s="86">
        <v>3</v>
      </c>
      <c r="F353" s="86">
        <v>6</v>
      </c>
      <c r="G353" s="86">
        <v>8</v>
      </c>
      <c r="J353" s="19" t="s">
        <v>37</v>
      </c>
    </row>
    <row r="354" spans="1:10">
      <c r="A354" s="1">
        <v>70000006</v>
      </c>
      <c r="B354" s="34" t="s">
        <v>607</v>
      </c>
      <c r="C354" s="34" t="s">
        <v>608</v>
      </c>
      <c r="D354" s="86">
        <v>184</v>
      </c>
      <c r="E354" s="86">
        <v>3</v>
      </c>
      <c r="F354" s="86">
        <v>8</v>
      </c>
      <c r="G354" s="86">
        <v>10</v>
      </c>
      <c r="H354" s="87" t="s">
        <v>15</v>
      </c>
      <c r="I354" s="87" t="s">
        <v>16</v>
      </c>
      <c r="J354" s="19" t="s">
        <v>37</v>
      </c>
    </row>
    <row r="355" spans="1:10">
      <c r="A355" s="1">
        <v>70000107</v>
      </c>
      <c r="B355" s="34" t="s">
        <v>609</v>
      </c>
      <c r="C355" s="34" t="s">
        <v>610</v>
      </c>
      <c r="D355" s="86">
        <v>191</v>
      </c>
      <c r="E355" s="86">
        <v>3</v>
      </c>
      <c r="F355" s="86">
        <v>8</v>
      </c>
      <c r="G355" s="86">
        <v>10.5</v>
      </c>
      <c r="J355" s="19" t="s">
        <v>37</v>
      </c>
    </row>
    <row r="356" spans="1:10">
      <c r="A356" s="1">
        <v>70000067</v>
      </c>
      <c r="B356" s="34" t="s">
        <v>611</v>
      </c>
      <c r="C356" s="34" t="s">
        <v>354</v>
      </c>
      <c r="D356" s="86">
        <v>204</v>
      </c>
      <c r="E356" s="86">
        <v>4</v>
      </c>
      <c r="F356" s="86">
        <v>7</v>
      </c>
      <c r="G356" s="86">
        <v>9.3</v>
      </c>
      <c r="H356" s="28" t="s">
        <v>15</v>
      </c>
      <c r="I356" s="28" t="s">
        <v>349</v>
      </c>
      <c r="J356" s="19" t="s">
        <v>37</v>
      </c>
    </row>
    <row r="357" spans="1:10">
      <c r="A357" s="1">
        <v>70001001</v>
      </c>
      <c r="B357" s="65" t="s">
        <v>612</v>
      </c>
      <c r="C357" s="80"/>
      <c r="D357" s="90">
        <v>204</v>
      </c>
      <c r="E357" s="90">
        <v>4</v>
      </c>
      <c r="F357" s="90">
        <v>7</v>
      </c>
      <c r="G357" s="90">
        <v>9.5</v>
      </c>
      <c r="H357" s="93" t="s">
        <v>15</v>
      </c>
      <c r="I357" s="28" t="s">
        <v>510</v>
      </c>
      <c r="J357" s="19" t="s">
        <v>37</v>
      </c>
    </row>
    <row r="358" spans="1:10">
      <c r="A358" s="83" t="s">
        <v>613</v>
      </c>
      <c r="B358" s="83"/>
      <c r="C358" s="83"/>
      <c r="D358" s="83"/>
      <c r="E358" s="83"/>
      <c r="F358" s="83"/>
      <c r="G358" s="83"/>
      <c r="H358" s="83"/>
      <c r="I358" s="83"/>
      <c r="J358" s="83"/>
    </row>
    <row r="359" spans="1:10">
      <c r="A359" s="1">
        <v>80000073</v>
      </c>
      <c r="B359" s="34" t="s">
        <v>614</v>
      </c>
      <c r="C359" s="34" t="s">
        <v>615</v>
      </c>
      <c r="D359" s="86">
        <v>175</v>
      </c>
      <c r="E359" s="86">
        <v>3</v>
      </c>
      <c r="F359" s="86">
        <v>7</v>
      </c>
      <c r="G359" s="86">
        <v>9</v>
      </c>
      <c r="J359" s="8" t="s">
        <v>39</v>
      </c>
    </row>
    <row r="360" spans="1:10">
      <c r="A360" s="1">
        <v>80000081</v>
      </c>
      <c r="B360" s="34" t="s">
        <v>616</v>
      </c>
      <c r="C360" s="34" t="s">
        <v>617</v>
      </c>
      <c r="D360" s="86">
        <v>190</v>
      </c>
      <c r="E360" s="86">
        <v>5</v>
      </c>
      <c r="F360" s="86">
        <v>8</v>
      </c>
      <c r="G360" s="86">
        <v>10.5</v>
      </c>
      <c r="J360" s="8" t="s">
        <v>39</v>
      </c>
    </row>
    <row r="361" spans="1:10">
      <c r="A361" s="1">
        <v>80000113</v>
      </c>
      <c r="B361" s="34" t="s">
        <v>618</v>
      </c>
      <c r="C361" s="34" t="s">
        <v>619</v>
      </c>
      <c r="D361" s="86">
        <v>135</v>
      </c>
      <c r="E361" s="86">
        <v>3</v>
      </c>
      <c r="F361" s="86">
        <v>6</v>
      </c>
      <c r="G361" s="86">
        <v>8</v>
      </c>
      <c r="H361" s="28" t="s">
        <v>15</v>
      </c>
      <c r="I361" s="28" t="s">
        <v>148</v>
      </c>
      <c r="J361" s="8" t="s">
        <v>39</v>
      </c>
    </row>
    <row r="362" spans="1:10">
      <c r="A362" s="1">
        <v>80000054</v>
      </c>
      <c r="B362" s="34" t="s">
        <v>620</v>
      </c>
      <c r="C362" s="34" t="s">
        <v>105</v>
      </c>
      <c r="D362" s="86">
        <v>160</v>
      </c>
      <c r="E362" s="86">
        <v>3</v>
      </c>
      <c r="F362" s="86">
        <v>7</v>
      </c>
      <c r="G362" s="86">
        <v>9.7</v>
      </c>
      <c r="H362" s="28" t="s">
        <v>15</v>
      </c>
      <c r="I362" s="28" t="s">
        <v>66</v>
      </c>
      <c r="J362" s="8" t="s">
        <v>39</v>
      </c>
    </row>
    <row r="363" spans="1:10">
      <c r="A363" s="1">
        <v>80000076</v>
      </c>
      <c r="B363" s="34" t="s">
        <v>621</v>
      </c>
      <c r="C363" s="34" t="s">
        <v>622</v>
      </c>
      <c r="D363" s="86">
        <v>190</v>
      </c>
      <c r="E363" s="86">
        <v>4</v>
      </c>
      <c r="F363" s="86">
        <v>8</v>
      </c>
      <c r="G363" s="86">
        <v>10.3</v>
      </c>
      <c r="H363" s="28" t="s">
        <v>15</v>
      </c>
      <c r="I363" s="28" t="s">
        <v>66</v>
      </c>
      <c r="J363" s="8" t="s">
        <v>39</v>
      </c>
    </row>
    <row r="364" spans="1:10">
      <c r="A364" s="1">
        <v>80000007</v>
      </c>
      <c r="B364" s="34" t="s">
        <v>623</v>
      </c>
      <c r="C364" s="34" t="s">
        <v>243</v>
      </c>
      <c r="D364" s="86">
        <v>142</v>
      </c>
      <c r="E364" s="86">
        <v>4</v>
      </c>
      <c r="F364" s="86">
        <v>8</v>
      </c>
      <c r="G364" s="86">
        <v>10.2</v>
      </c>
      <c r="H364" s="28" t="s">
        <v>15</v>
      </c>
      <c r="I364" s="28" t="s">
        <v>24</v>
      </c>
      <c r="J364" s="8" t="s">
        <v>39</v>
      </c>
    </row>
    <row r="365" spans="1:10">
      <c r="A365" s="1">
        <v>80001014</v>
      </c>
      <c r="B365" s="65" t="s">
        <v>624</v>
      </c>
      <c r="C365" s="90"/>
      <c r="D365" s="90">
        <v>200</v>
      </c>
      <c r="E365" s="90">
        <v>4</v>
      </c>
      <c r="F365" s="90">
        <v>8</v>
      </c>
      <c r="G365" s="90">
        <v>10.3</v>
      </c>
      <c r="H365" s="93" t="s">
        <v>15</v>
      </c>
      <c r="I365" s="28" t="s">
        <v>510</v>
      </c>
      <c r="J365" s="8" t="s">
        <v>39</v>
      </c>
    </row>
    <row r="366" spans="1:10">
      <c r="A366" s="1">
        <v>80000090</v>
      </c>
      <c r="B366" s="34" t="s">
        <v>625</v>
      </c>
      <c r="C366" s="90" t="s">
        <v>626</v>
      </c>
      <c r="D366" s="86" t="s">
        <v>627</v>
      </c>
      <c r="E366" s="86">
        <v>6</v>
      </c>
      <c r="F366" s="86">
        <v>10.3</v>
      </c>
      <c r="G366" s="86">
        <v>10.6</v>
      </c>
      <c r="J366" s="8" t="s">
        <v>39</v>
      </c>
    </row>
    <row r="367" spans="1:10">
      <c r="A367" s="1">
        <v>80000086</v>
      </c>
      <c r="B367" s="34" t="s">
        <v>628</v>
      </c>
      <c r="C367" s="34" t="s">
        <v>629</v>
      </c>
      <c r="D367" s="86">
        <v>228</v>
      </c>
      <c r="E367" s="86">
        <v>9.4</v>
      </c>
      <c r="F367" s="86">
        <v>9.6</v>
      </c>
      <c r="G367" s="86">
        <v>10.3</v>
      </c>
      <c r="H367" s="28" t="s">
        <v>15</v>
      </c>
      <c r="I367" s="28" t="s">
        <v>577</v>
      </c>
      <c r="J367" s="8" t="s">
        <v>39</v>
      </c>
    </row>
    <row r="368" spans="1:10">
      <c r="A368" s="1">
        <v>80000065</v>
      </c>
      <c r="B368" s="34" t="s">
        <v>630</v>
      </c>
      <c r="C368" s="90" t="s">
        <v>631</v>
      </c>
      <c r="D368" s="86" t="s">
        <v>632</v>
      </c>
      <c r="E368" s="86">
        <v>4</v>
      </c>
      <c r="F368" s="86">
        <v>7</v>
      </c>
      <c r="G368" s="86">
        <v>9.7</v>
      </c>
      <c r="H368" s="28" t="s">
        <v>15</v>
      </c>
      <c r="I368" s="28" t="s">
        <v>633</v>
      </c>
      <c r="J368" s="8" t="s">
        <v>39</v>
      </c>
    </row>
    <row r="369" spans="1:10">
      <c r="A369" s="1">
        <v>80000053</v>
      </c>
      <c r="B369" s="34" t="s">
        <v>634</v>
      </c>
      <c r="C369" s="34" t="s">
        <v>635</v>
      </c>
      <c r="D369" s="86">
        <v>188</v>
      </c>
      <c r="E369" s="86">
        <v>4</v>
      </c>
      <c r="F369" s="86">
        <v>8</v>
      </c>
      <c r="G369" s="86">
        <v>10.4</v>
      </c>
      <c r="J369" s="8" t="s">
        <v>39</v>
      </c>
    </row>
    <row r="370" spans="1:10">
      <c r="A370" s="1">
        <v>80000110</v>
      </c>
      <c r="B370" s="34" t="s">
        <v>636</v>
      </c>
      <c r="C370" s="34" t="s">
        <v>637</v>
      </c>
      <c r="D370" s="86">
        <v>157</v>
      </c>
      <c r="E370" s="86">
        <v>4</v>
      </c>
      <c r="F370" s="86">
        <v>7</v>
      </c>
      <c r="G370" s="86">
        <v>9.7</v>
      </c>
      <c r="H370" s="28" t="s">
        <v>15</v>
      </c>
      <c r="I370" s="28" t="s">
        <v>45</v>
      </c>
      <c r="J370" s="8" t="s">
        <v>39</v>
      </c>
    </row>
    <row r="371" spans="1:10">
      <c r="A371" s="1">
        <v>80000063</v>
      </c>
      <c r="B371" s="34" t="s">
        <v>638</v>
      </c>
      <c r="C371" s="34" t="s">
        <v>90</v>
      </c>
      <c r="D371" s="86">
        <v>163</v>
      </c>
      <c r="E371" s="86">
        <v>3</v>
      </c>
      <c r="F371" s="86">
        <v>6</v>
      </c>
      <c r="G371" s="86">
        <v>9.5</v>
      </c>
      <c r="H371" s="28" t="s">
        <v>15</v>
      </c>
      <c r="I371" s="28" t="s">
        <v>24</v>
      </c>
      <c r="J371" s="8" t="s">
        <v>39</v>
      </c>
    </row>
    <row r="372" spans="1:10">
      <c r="A372" s="1">
        <v>80001007</v>
      </c>
      <c r="B372" s="65" t="s">
        <v>639</v>
      </c>
      <c r="C372" s="34"/>
      <c r="D372" s="90">
        <v>185</v>
      </c>
      <c r="E372" s="90">
        <v>5</v>
      </c>
      <c r="F372" s="90">
        <v>8</v>
      </c>
      <c r="G372" s="90">
        <v>10.2</v>
      </c>
      <c r="H372" s="87" t="s">
        <v>15</v>
      </c>
      <c r="I372" s="87" t="s">
        <v>49</v>
      </c>
      <c r="J372" s="8" t="s">
        <v>39</v>
      </c>
    </row>
    <row r="373" spans="1:10">
      <c r="A373" s="1">
        <v>80000025</v>
      </c>
      <c r="B373" s="34" t="s">
        <v>640</v>
      </c>
      <c r="C373" s="34" t="s">
        <v>641</v>
      </c>
      <c r="D373" s="86">
        <v>160</v>
      </c>
      <c r="E373" s="86">
        <v>6</v>
      </c>
      <c r="F373" s="86">
        <v>9.3</v>
      </c>
      <c r="G373" s="86">
        <v>10.5</v>
      </c>
      <c r="J373" s="8" t="s">
        <v>39</v>
      </c>
    </row>
    <row r="374" spans="1:10">
      <c r="A374" s="1">
        <v>80000088</v>
      </c>
      <c r="B374" s="34" t="s">
        <v>642</v>
      </c>
      <c r="C374" s="34" t="s">
        <v>643</v>
      </c>
      <c r="D374" s="86">
        <v>160</v>
      </c>
      <c r="E374" s="86">
        <v>4</v>
      </c>
      <c r="F374" s="86">
        <v>9.1</v>
      </c>
      <c r="G374" s="86">
        <v>10.7</v>
      </c>
      <c r="J374" s="8" t="s">
        <v>39</v>
      </c>
    </row>
    <row r="375" spans="1:10">
      <c r="A375" s="1">
        <v>80000134</v>
      </c>
      <c r="B375" s="34" t="s">
        <v>644</v>
      </c>
      <c r="C375" s="34" t="s">
        <v>645</v>
      </c>
      <c r="D375" s="86">
        <v>155</v>
      </c>
      <c r="E375" s="86">
        <v>4</v>
      </c>
      <c r="F375" s="86">
        <v>8</v>
      </c>
      <c r="G375" s="86">
        <v>10.2</v>
      </c>
      <c r="J375" s="8" t="s">
        <v>39</v>
      </c>
    </row>
    <row r="376" spans="1:10">
      <c r="A376" s="1">
        <v>80000023</v>
      </c>
      <c r="B376" s="34" t="s">
        <v>646</v>
      </c>
      <c r="C376" s="34" t="s">
        <v>647</v>
      </c>
      <c r="D376" s="86">
        <v>180</v>
      </c>
      <c r="E376" s="86">
        <v>6</v>
      </c>
      <c r="F376" s="86">
        <v>9.2</v>
      </c>
      <c r="G376" s="86">
        <v>10.6</v>
      </c>
      <c r="H376" s="28" t="s">
        <v>15</v>
      </c>
      <c r="I376" s="28" t="s">
        <v>633</v>
      </c>
      <c r="J376" s="8" t="s">
        <v>39</v>
      </c>
    </row>
    <row r="377" spans="1:10">
      <c r="A377" s="1">
        <v>80000082</v>
      </c>
      <c r="B377" s="34" t="s">
        <v>648</v>
      </c>
      <c r="C377" s="34" t="s">
        <v>649</v>
      </c>
      <c r="D377" s="86">
        <v>150</v>
      </c>
      <c r="E377" s="86">
        <v>4</v>
      </c>
      <c r="F377" s="86">
        <v>8</v>
      </c>
      <c r="G377" s="86">
        <v>10.6</v>
      </c>
      <c r="J377" s="8" t="s">
        <v>39</v>
      </c>
    </row>
    <row r="378" spans="1:10">
      <c r="A378" s="1">
        <v>80000085</v>
      </c>
      <c r="B378" s="34" t="s">
        <v>650</v>
      </c>
      <c r="C378" s="34" t="s">
        <v>651</v>
      </c>
      <c r="D378" s="86">
        <v>160</v>
      </c>
      <c r="E378" s="86">
        <v>5</v>
      </c>
      <c r="F378" s="86">
        <v>8</v>
      </c>
      <c r="G378" s="86">
        <v>10.6</v>
      </c>
      <c r="H378" s="28" t="s">
        <v>15</v>
      </c>
      <c r="I378" s="28" t="s">
        <v>24</v>
      </c>
      <c r="J378" s="8" t="s">
        <v>39</v>
      </c>
    </row>
    <row r="379" spans="1:10">
      <c r="A379" s="1">
        <v>80000084</v>
      </c>
      <c r="B379" s="34" t="s">
        <v>652</v>
      </c>
      <c r="C379" s="34" t="s">
        <v>653</v>
      </c>
      <c r="D379" s="86">
        <v>155</v>
      </c>
      <c r="E379" s="86">
        <v>3</v>
      </c>
      <c r="F379" s="86">
        <v>6</v>
      </c>
      <c r="G379" s="86">
        <v>8</v>
      </c>
      <c r="H379" s="28" t="s">
        <v>15</v>
      </c>
      <c r="I379" s="28" t="s">
        <v>180</v>
      </c>
      <c r="J379" s="8" t="s">
        <v>39</v>
      </c>
    </row>
    <row r="380" spans="1:10">
      <c r="A380" s="1">
        <v>80000112</v>
      </c>
      <c r="B380" s="34" t="s">
        <v>654</v>
      </c>
      <c r="C380" s="34" t="s">
        <v>655</v>
      </c>
      <c r="D380" s="86">
        <v>150</v>
      </c>
      <c r="E380" s="86">
        <v>5</v>
      </c>
      <c r="F380" s="86">
        <v>7</v>
      </c>
      <c r="G380" s="86">
        <v>10.5</v>
      </c>
      <c r="J380" s="8" t="s">
        <v>39</v>
      </c>
    </row>
    <row r="381" spans="1:10">
      <c r="A381" s="1">
        <v>80000102</v>
      </c>
      <c r="B381" s="34" t="s">
        <v>656</v>
      </c>
      <c r="C381" s="34" t="s">
        <v>53</v>
      </c>
      <c r="D381" s="86">
        <v>220</v>
      </c>
      <c r="E381" s="86">
        <v>5</v>
      </c>
      <c r="F381" s="86">
        <v>8</v>
      </c>
      <c r="G381" s="86">
        <v>10.6</v>
      </c>
      <c r="H381" s="28" t="s">
        <v>15</v>
      </c>
      <c r="I381" s="28" t="s">
        <v>45</v>
      </c>
      <c r="J381" s="8" t="s">
        <v>39</v>
      </c>
    </row>
    <row r="382" spans="1:10">
      <c r="A382" s="1">
        <v>80000117</v>
      </c>
      <c r="B382" s="34" t="s">
        <v>657</v>
      </c>
      <c r="C382" s="34" t="s">
        <v>615</v>
      </c>
      <c r="D382" s="86">
        <v>160</v>
      </c>
      <c r="E382" s="86">
        <v>4</v>
      </c>
      <c r="F382" s="86">
        <v>7</v>
      </c>
      <c r="G382" s="86">
        <v>9.8</v>
      </c>
      <c r="J382" s="8" t="s">
        <v>39</v>
      </c>
    </row>
    <row r="383" spans="1:10">
      <c r="A383" s="1">
        <v>80000010</v>
      </c>
      <c r="B383" s="34" t="s">
        <v>658</v>
      </c>
      <c r="C383" s="34" t="s">
        <v>659</v>
      </c>
      <c r="D383" s="86" t="s">
        <v>660</v>
      </c>
      <c r="E383" s="86">
        <v>5</v>
      </c>
      <c r="F383" s="86">
        <v>8</v>
      </c>
      <c r="G383" s="86">
        <v>9.7</v>
      </c>
      <c r="H383" s="28" t="s">
        <v>15</v>
      </c>
      <c r="I383" s="28" t="s">
        <v>24</v>
      </c>
      <c r="J383" s="8" t="s">
        <v>39</v>
      </c>
    </row>
    <row r="384" spans="1:10">
      <c r="A384" s="1">
        <v>80000064</v>
      </c>
      <c r="B384" s="34" t="s">
        <v>661</v>
      </c>
      <c r="C384" s="34" t="s">
        <v>662</v>
      </c>
      <c r="D384" s="86" t="s">
        <v>663</v>
      </c>
      <c r="E384" s="86">
        <v>5</v>
      </c>
      <c r="F384" s="86">
        <v>7</v>
      </c>
      <c r="G384" s="86">
        <v>9.8</v>
      </c>
      <c r="H384" s="91" t="s">
        <v>15</v>
      </c>
      <c r="I384" s="28" t="s">
        <v>359</v>
      </c>
      <c r="J384" s="8" t="s">
        <v>39</v>
      </c>
    </row>
    <row r="385" spans="1:10">
      <c r="A385" s="1">
        <v>80000040</v>
      </c>
      <c r="B385" s="34" t="s">
        <v>664</v>
      </c>
      <c r="C385" s="34" t="s">
        <v>526</v>
      </c>
      <c r="D385" s="86">
        <v>150</v>
      </c>
      <c r="E385" s="86">
        <v>4</v>
      </c>
      <c r="F385" s="86">
        <v>8</v>
      </c>
      <c r="G385" s="86">
        <v>10.2</v>
      </c>
      <c r="J385" s="8" t="s">
        <v>39</v>
      </c>
    </row>
    <row r="386" spans="1:10">
      <c r="A386" s="1">
        <v>80000137</v>
      </c>
      <c r="B386" s="34" t="s">
        <v>665</v>
      </c>
      <c r="C386" s="34" t="s">
        <v>666</v>
      </c>
      <c r="D386" s="86">
        <v>210</v>
      </c>
      <c r="E386" s="86">
        <v>6</v>
      </c>
      <c r="F386" s="86">
        <v>9.2</v>
      </c>
      <c r="G386" s="86">
        <v>10.6</v>
      </c>
      <c r="H386" s="28" t="s">
        <v>15</v>
      </c>
      <c r="I386" s="28" t="s">
        <v>289</v>
      </c>
      <c r="J386" s="8" t="s">
        <v>39</v>
      </c>
    </row>
    <row r="387" spans="1:10">
      <c r="A387" s="1">
        <v>80000133</v>
      </c>
      <c r="B387" s="34" t="s">
        <v>667</v>
      </c>
      <c r="C387" s="34" t="s">
        <v>668</v>
      </c>
      <c r="D387" s="86" t="s">
        <v>669</v>
      </c>
      <c r="E387" s="86">
        <v>4</v>
      </c>
      <c r="F387" s="86">
        <v>7</v>
      </c>
      <c r="G387" s="86">
        <v>10.5</v>
      </c>
      <c r="J387" s="8" t="s">
        <v>39</v>
      </c>
    </row>
    <row r="388" spans="1:10">
      <c r="A388" s="1">
        <v>80000106</v>
      </c>
      <c r="B388" s="34" t="s">
        <v>670</v>
      </c>
      <c r="C388" s="34" t="s">
        <v>629</v>
      </c>
      <c r="D388" s="86">
        <v>334</v>
      </c>
      <c r="E388" s="86">
        <v>6</v>
      </c>
      <c r="F388" s="86">
        <v>8</v>
      </c>
      <c r="G388" s="86">
        <v>10.5</v>
      </c>
      <c r="J388" s="8" t="s">
        <v>39</v>
      </c>
    </row>
    <row r="389" spans="1:10">
      <c r="A389" s="1">
        <v>80000138</v>
      </c>
      <c r="B389" s="34" t="s">
        <v>671</v>
      </c>
      <c r="C389" s="90" t="s">
        <v>672</v>
      </c>
      <c r="D389" s="86">
        <v>135</v>
      </c>
      <c r="E389" s="86">
        <v>6</v>
      </c>
      <c r="F389" s="86">
        <v>10.1</v>
      </c>
      <c r="G389" s="86">
        <v>10.2</v>
      </c>
      <c r="J389" s="8" t="s">
        <v>39</v>
      </c>
    </row>
    <row r="390" spans="1:10">
      <c r="A390" s="1">
        <v>80000087</v>
      </c>
      <c r="B390" s="34" t="s">
        <v>673</v>
      </c>
      <c r="C390" s="34" t="s">
        <v>674</v>
      </c>
      <c r="D390" s="86">
        <v>165</v>
      </c>
      <c r="E390" s="86">
        <v>5</v>
      </c>
      <c r="F390" s="86">
        <v>9.1</v>
      </c>
      <c r="G390" s="86">
        <v>10.6</v>
      </c>
      <c r="H390" s="28" t="s">
        <v>15</v>
      </c>
      <c r="I390" s="28" t="s">
        <v>24</v>
      </c>
      <c r="J390" s="8" t="s">
        <v>39</v>
      </c>
    </row>
    <row r="391" spans="1:10">
      <c r="A391" s="1">
        <v>80001013</v>
      </c>
      <c r="B391" s="65" t="s">
        <v>675</v>
      </c>
      <c r="C391" s="90"/>
      <c r="D391" s="90">
        <v>165</v>
      </c>
      <c r="E391" s="90">
        <v>3</v>
      </c>
      <c r="F391" s="90">
        <v>6</v>
      </c>
      <c r="G391" s="90">
        <v>10.1</v>
      </c>
      <c r="H391" s="87" t="s">
        <v>15</v>
      </c>
      <c r="I391" s="87" t="s">
        <v>49</v>
      </c>
      <c r="J391" s="8" t="s">
        <v>39</v>
      </c>
    </row>
    <row r="392" spans="1:10">
      <c r="A392" s="1">
        <v>80001003</v>
      </c>
      <c r="B392" s="65" t="s">
        <v>676</v>
      </c>
      <c r="C392" s="90"/>
      <c r="D392" s="90">
        <v>152</v>
      </c>
      <c r="E392" s="90">
        <v>4</v>
      </c>
      <c r="F392" s="90">
        <v>8</v>
      </c>
      <c r="G392" s="90">
        <v>9.7</v>
      </c>
      <c r="H392" s="93" t="s">
        <v>15</v>
      </c>
      <c r="I392" s="87" t="s">
        <v>510</v>
      </c>
      <c r="J392" s="8" t="s">
        <v>39</v>
      </c>
    </row>
    <row r="393" spans="1:10">
      <c r="A393" s="1">
        <v>80000072</v>
      </c>
      <c r="B393" s="34" t="s">
        <v>677</v>
      </c>
      <c r="C393" s="90" t="s">
        <v>320</v>
      </c>
      <c r="D393" s="86">
        <v>175</v>
      </c>
      <c r="E393" s="86">
        <v>2</v>
      </c>
      <c r="F393" s="86">
        <v>5</v>
      </c>
      <c r="G393" s="86">
        <v>8</v>
      </c>
      <c r="H393" s="28" t="s">
        <v>15</v>
      </c>
      <c r="I393" s="28" t="s">
        <v>289</v>
      </c>
      <c r="J393" s="8" t="s">
        <v>39</v>
      </c>
    </row>
    <row r="394" spans="1:10">
      <c r="A394" s="1">
        <v>80000118</v>
      </c>
      <c r="B394" s="34" t="s">
        <v>678</v>
      </c>
      <c r="C394" s="34" t="s">
        <v>524</v>
      </c>
      <c r="D394" s="86">
        <v>197</v>
      </c>
      <c r="E394" s="86">
        <v>4</v>
      </c>
      <c r="F394" s="86">
        <v>8</v>
      </c>
      <c r="G394" s="86">
        <v>10.5</v>
      </c>
      <c r="H394" s="28" t="s">
        <v>15</v>
      </c>
      <c r="I394" s="28" t="s">
        <v>577</v>
      </c>
      <c r="J394" s="8" t="s">
        <v>39</v>
      </c>
    </row>
    <row r="395" spans="1:10">
      <c r="A395" s="1">
        <v>80001004</v>
      </c>
      <c r="B395" s="65" t="s">
        <v>679</v>
      </c>
      <c r="C395" s="90"/>
      <c r="D395" s="90">
        <v>177</v>
      </c>
      <c r="E395" s="90">
        <v>3</v>
      </c>
      <c r="F395" s="90">
        <v>8</v>
      </c>
      <c r="G395" s="90">
        <v>10.1</v>
      </c>
      <c r="H395" s="93" t="s">
        <v>15</v>
      </c>
      <c r="I395" s="87" t="s">
        <v>510</v>
      </c>
      <c r="J395" s="8" t="s">
        <v>39</v>
      </c>
    </row>
    <row r="396" spans="1:10">
      <c r="A396" s="1">
        <v>80000070</v>
      </c>
      <c r="B396" s="34" t="s">
        <v>680</v>
      </c>
      <c r="C396" s="34" t="s">
        <v>194</v>
      </c>
      <c r="D396" s="86">
        <v>190</v>
      </c>
      <c r="E396" s="86">
        <v>3</v>
      </c>
      <c r="F396" s="86">
        <v>6</v>
      </c>
      <c r="G396" s="86">
        <v>9</v>
      </c>
      <c r="J396" s="8" t="s">
        <v>39</v>
      </c>
    </row>
    <row r="397" spans="1:10">
      <c r="A397" s="1">
        <v>80000028</v>
      </c>
      <c r="B397" s="34" t="s">
        <v>681</v>
      </c>
      <c r="C397" s="34" t="s">
        <v>534</v>
      </c>
      <c r="D397" s="86">
        <v>150</v>
      </c>
      <c r="E397" s="86">
        <v>4</v>
      </c>
      <c r="F397" s="86">
        <v>7</v>
      </c>
      <c r="G397" s="86">
        <v>9.6</v>
      </c>
      <c r="J397" s="8" t="s">
        <v>39</v>
      </c>
    </row>
    <row r="398" spans="1:10">
      <c r="A398" s="1">
        <v>80000135</v>
      </c>
      <c r="B398" s="34" t="s">
        <v>682</v>
      </c>
      <c r="C398" s="34" t="s">
        <v>651</v>
      </c>
      <c r="D398" s="86">
        <v>155</v>
      </c>
      <c r="E398" s="86">
        <v>5</v>
      </c>
      <c r="F398" s="86">
        <v>7</v>
      </c>
      <c r="G398" s="86">
        <v>9.4</v>
      </c>
      <c r="H398" s="92" t="s">
        <v>15</v>
      </c>
      <c r="I398" s="28" t="s">
        <v>429</v>
      </c>
      <c r="J398" s="8" t="s">
        <v>39</v>
      </c>
    </row>
    <row r="399" spans="1:10">
      <c r="A399" s="1">
        <v>80000009</v>
      </c>
      <c r="B399" s="34" t="s">
        <v>683</v>
      </c>
      <c r="C399" s="90" t="s">
        <v>547</v>
      </c>
      <c r="D399" s="86">
        <v>170</v>
      </c>
      <c r="E399" s="86">
        <v>4</v>
      </c>
      <c r="F399" s="86">
        <v>8</v>
      </c>
      <c r="G399" s="86">
        <v>10.4</v>
      </c>
      <c r="H399" s="28" t="s">
        <v>15</v>
      </c>
      <c r="I399" s="28" t="s">
        <v>24</v>
      </c>
      <c r="J399" s="8" t="s">
        <v>39</v>
      </c>
    </row>
    <row r="400" spans="1:10">
      <c r="A400" s="1">
        <v>80000026</v>
      </c>
      <c r="B400" s="34" t="s">
        <v>684</v>
      </c>
      <c r="C400" s="34" t="s">
        <v>35</v>
      </c>
      <c r="D400" s="86">
        <v>180</v>
      </c>
      <c r="E400" s="86">
        <v>3</v>
      </c>
      <c r="F400" s="86">
        <v>7</v>
      </c>
      <c r="G400" s="86">
        <v>9.6</v>
      </c>
      <c r="H400" s="28" t="s">
        <v>15</v>
      </c>
      <c r="I400" s="28" t="s">
        <v>24</v>
      </c>
      <c r="J400" s="8" t="s">
        <v>39</v>
      </c>
    </row>
    <row r="401" spans="1:10">
      <c r="A401" s="1">
        <v>80000022</v>
      </c>
      <c r="B401" s="34" t="s">
        <v>685</v>
      </c>
      <c r="C401" s="34" t="s">
        <v>414</v>
      </c>
      <c r="D401" s="86">
        <v>128</v>
      </c>
      <c r="E401" s="86">
        <v>5</v>
      </c>
      <c r="F401" s="86">
        <v>9.8</v>
      </c>
      <c r="G401" s="86">
        <v>10.7</v>
      </c>
      <c r="H401" s="28" t="s">
        <v>15</v>
      </c>
      <c r="I401" s="28" t="s">
        <v>66</v>
      </c>
      <c r="J401" s="8" t="s">
        <v>39</v>
      </c>
    </row>
    <row r="402" spans="1:10">
      <c r="A402" s="1">
        <v>80001015</v>
      </c>
      <c r="B402" s="65" t="s">
        <v>686</v>
      </c>
      <c r="C402" s="80"/>
      <c r="D402" s="90">
        <v>200</v>
      </c>
      <c r="E402" s="90">
        <v>5</v>
      </c>
      <c r="F402" s="90">
        <v>8</v>
      </c>
      <c r="G402" s="90">
        <v>10.6</v>
      </c>
      <c r="H402" s="93" t="s">
        <v>15</v>
      </c>
      <c r="I402" s="87" t="s">
        <v>510</v>
      </c>
      <c r="J402" s="8" t="s">
        <v>39</v>
      </c>
    </row>
    <row r="403" spans="1:10">
      <c r="A403" s="1">
        <v>80000024</v>
      </c>
      <c r="B403" s="34" t="s">
        <v>687</v>
      </c>
      <c r="C403" s="34" t="s">
        <v>215</v>
      </c>
      <c r="D403" s="86">
        <v>140</v>
      </c>
      <c r="E403" s="86">
        <v>4</v>
      </c>
      <c r="F403" s="86">
        <v>8</v>
      </c>
      <c r="G403" s="86">
        <v>9.8</v>
      </c>
      <c r="H403" s="28" t="s">
        <v>15</v>
      </c>
      <c r="I403" s="28" t="s">
        <v>24</v>
      </c>
      <c r="J403" s="8" t="s">
        <v>39</v>
      </c>
    </row>
    <row r="404" spans="1:10">
      <c r="A404" s="1">
        <v>80001002</v>
      </c>
      <c r="B404" s="65" t="s">
        <v>688</v>
      </c>
      <c r="C404" s="80"/>
      <c r="D404" s="90">
        <v>170</v>
      </c>
      <c r="E404" s="90">
        <v>3</v>
      </c>
      <c r="F404" s="90">
        <v>7</v>
      </c>
      <c r="G404" s="90">
        <v>9.8</v>
      </c>
      <c r="H404" s="93" t="s">
        <v>15</v>
      </c>
      <c r="I404" s="87" t="s">
        <v>510</v>
      </c>
      <c r="J404" s="8" t="s">
        <v>39</v>
      </c>
    </row>
    <row r="405" spans="1:10">
      <c r="A405" s="1">
        <v>80001008</v>
      </c>
      <c r="B405" s="65" t="s">
        <v>689</v>
      </c>
      <c r="C405" s="80"/>
      <c r="D405" s="90">
        <v>135</v>
      </c>
      <c r="E405" s="90">
        <v>4</v>
      </c>
      <c r="F405" s="90">
        <v>7</v>
      </c>
      <c r="G405" s="90">
        <v>9.3</v>
      </c>
      <c r="H405" s="87" t="s">
        <v>15</v>
      </c>
      <c r="I405" s="87" t="s">
        <v>16</v>
      </c>
      <c r="J405" s="8" t="s">
        <v>39</v>
      </c>
    </row>
    <row r="406" spans="1:10">
      <c r="A406" s="1">
        <v>80000003</v>
      </c>
      <c r="B406" s="34" t="s">
        <v>690</v>
      </c>
      <c r="C406" s="90" t="s">
        <v>691</v>
      </c>
      <c r="D406" s="86">
        <v>175</v>
      </c>
      <c r="E406" s="86">
        <v>3</v>
      </c>
      <c r="F406" s="86">
        <v>7</v>
      </c>
      <c r="G406" s="86">
        <v>10</v>
      </c>
      <c r="H406" s="87" t="s">
        <v>15</v>
      </c>
      <c r="I406" s="87" t="s">
        <v>20</v>
      </c>
      <c r="J406" s="8" t="s">
        <v>39</v>
      </c>
    </row>
    <row r="407" spans="1:10">
      <c r="A407" s="1">
        <v>80000021</v>
      </c>
      <c r="B407" s="34" t="s">
        <v>692</v>
      </c>
      <c r="C407" s="34" t="s">
        <v>409</v>
      </c>
      <c r="D407" s="86">
        <v>187</v>
      </c>
      <c r="E407" s="86">
        <v>5</v>
      </c>
      <c r="F407" s="86">
        <v>9</v>
      </c>
      <c r="G407" s="86">
        <v>10.5</v>
      </c>
      <c r="H407" s="28" t="s">
        <v>15</v>
      </c>
      <c r="I407" s="28" t="s">
        <v>24</v>
      </c>
      <c r="J407" s="8" t="s">
        <v>39</v>
      </c>
    </row>
    <row r="408" spans="1:10">
      <c r="A408" s="1">
        <v>80000089</v>
      </c>
      <c r="B408" s="34" t="s">
        <v>693</v>
      </c>
      <c r="C408" s="90" t="s">
        <v>694</v>
      </c>
      <c r="D408" s="86">
        <v>190</v>
      </c>
      <c r="E408" s="86">
        <v>4</v>
      </c>
      <c r="F408" s="86">
        <v>8</v>
      </c>
      <c r="G408" s="86">
        <v>10.3</v>
      </c>
      <c r="J408" s="8" t="s">
        <v>39</v>
      </c>
    </row>
    <row r="409" spans="1:10">
      <c r="A409" s="1">
        <v>80000128</v>
      </c>
      <c r="B409" s="34" t="s">
        <v>695</v>
      </c>
      <c r="C409" s="34" t="s">
        <v>696</v>
      </c>
      <c r="D409" s="86">
        <v>160</v>
      </c>
      <c r="E409" s="86">
        <v>4</v>
      </c>
      <c r="F409" s="86">
        <v>7</v>
      </c>
      <c r="G409" s="86">
        <v>9.7</v>
      </c>
      <c r="H409" s="28" t="s">
        <v>15</v>
      </c>
      <c r="I409" s="28" t="s">
        <v>24</v>
      </c>
      <c r="J409" s="8" t="s">
        <v>39</v>
      </c>
    </row>
    <row r="410" spans="1:10">
      <c r="A410" s="1">
        <v>80000071</v>
      </c>
      <c r="B410" s="34" t="s">
        <v>697</v>
      </c>
      <c r="C410" s="90" t="s">
        <v>698</v>
      </c>
      <c r="D410" s="86">
        <v>160</v>
      </c>
      <c r="E410" s="86">
        <v>4</v>
      </c>
      <c r="F410" s="86">
        <v>7</v>
      </c>
      <c r="G410" s="86">
        <v>9.5</v>
      </c>
      <c r="H410" s="91" t="s">
        <v>15</v>
      </c>
      <c r="I410" s="28" t="s">
        <v>359</v>
      </c>
      <c r="J410" s="8" t="s">
        <v>39</v>
      </c>
    </row>
    <row r="411" spans="1:10">
      <c r="A411" s="1">
        <v>80000008</v>
      </c>
      <c r="B411" s="34" t="s">
        <v>699</v>
      </c>
      <c r="C411" s="34" t="s">
        <v>622</v>
      </c>
      <c r="D411" s="86">
        <v>207</v>
      </c>
      <c r="E411" s="86">
        <v>4</v>
      </c>
      <c r="F411" s="86">
        <v>7</v>
      </c>
      <c r="G411" s="86">
        <v>9</v>
      </c>
      <c r="H411" s="28" t="s">
        <v>15</v>
      </c>
      <c r="I411" s="28" t="s">
        <v>45</v>
      </c>
      <c r="J411" s="8" t="s">
        <v>39</v>
      </c>
    </row>
    <row r="412" spans="1:10">
      <c r="A412" s="1">
        <v>80000119</v>
      </c>
      <c r="B412" s="34" t="s">
        <v>700</v>
      </c>
      <c r="C412" s="34" t="s">
        <v>90</v>
      </c>
      <c r="D412" s="86" t="s">
        <v>701</v>
      </c>
      <c r="E412" s="86">
        <v>3</v>
      </c>
      <c r="F412" s="86">
        <v>5</v>
      </c>
      <c r="G412" s="86">
        <v>9.1</v>
      </c>
      <c r="H412" s="28" t="s">
        <v>15</v>
      </c>
      <c r="I412" s="28" t="s">
        <v>95</v>
      </c>
      <c r="J412" s="8" t="s">
        <v>39</v>
      </c>
    </row>
    <row r="413" spans="1:10">
      <c r="A413" s="1">
        <v>80000136</v>
      </c>
      <c r="B413" s="34" t="s">
        <v>702</v>
      </c>
      <c r="C413" s="90" t="s">
        <v>703</v>
      </c>
      <c r="D413" s="86">
        <v>150</v>
      </c>
      <c r="E413" s="86">
        <v>2</v>
      </c>
      <c r="F413" s="86">
        <v>5</v>
      </c>
      <c r="G413" s="86">
        <v>8</v>
      </c>
      <c r="H413" s="28" t="s">
        <v>15</v>
      </c>
      <c r="I413" s="28" t="s">
        <v>148</v>
      </c>
      <c r="J413" s="8" t="s">
        <v>39</v>
      </c>
    </row>
    <row r="414" spans="1:10">
      <c r="A414" s="1">
        <v>80000083</v>
      </c>
      <c r="B414" s="34" t="s">
        <v>704</v>
      </c>
      <c r="C414" s="34" t="s">
        <v>705</v>
      </c>
      <c r="D414" s="86">
        <v>200</v>
      </c>
      <c r="E414" s="86">
        <v>4</v>
      </c>
      <c r="F414" s="86">
        <v>8</v>
      </c>
      <c r="G414" s="86">
        <v>9.8</v>
      </c>
      <c r="J414" s="8" t="s">
        <v>39</v>
      </c>
    </row>
    <row r="415" spans="1:10">
      <c r="A415" s="1">
        <v>80000132</v>
      </c>
      <c r="B415" s="34" t="s">
        <v>706</v>
      </c>
      <c r="C415" s="90" t="s">
        <v>707</v>
      </c>
      <c r="D415" s="86">
        <v>186</v>
      </c>
      <c r="E415" s="86">
        <v>3</v>
      </c>
      <c r="F415" s="86">
        <v>7</v>
      </c>
      <c r="G415" s="86">
        <v>9.3</v>
      </c>
      <c r="H415" s="92" t="s">
        <v>15</v>
      </c>
      <c r="I415" s="28" t="s">
        <v>429</v>
      </c>
      <c r="J415" s="8" t="s">
        <v>39</v>
      </c>
    </row>
    <row r="416" spans="1:10">
      <c r="A416" s="1">
        <v>80000056</v>
      </c>
      <c r="B416" s="34" t="s">
        <v>708</v>
      </c>
      <c r="C416" s="90" t="s">
        <v>709</v>
      </c>
      <c r="D416" s="86">
        <v>174</v>
      </c>
      <c r="E416" s="86">
        <v>3</v>
      </c>
      <c r="F416" s="86">
        <v>6</v>
      </c>
      <c r="G416" s="86">
        <v>9</v>
      </c>
      <c r="H416" s="28" t="s">
        <v>15</v>
      </c>
      <c r="I416" s="28" t="s">
        <v>24</v>
      </c>
      <c r="J416" s="8" t="s">
        <v>39</v>
      </c>
    </row>
    <row r="417" spans="1:10">
      <c r="A417" s="83" t="s">
        <v>42</v>
      </c>
      <c r="B417" s="83"/>
      <c r="C417" s="83"/>
      <c r="D417" s="83"/>
      <c r="E417" s="83"/>
      <c r="F417" s="83"/>
      <c r="G417" s="83"/>
      <c r="H417" s="83"/>
      <c r="I417" s="83"/>
      <c r="J417" s="83"/>
    </row>
    <row r="418" spans="1:10">
      <c r="A418" s="1">
        <v>90000002</v>
      </c>
      <c r="B418" s="34" t="s">
        <v>710</v>
      </c>
      <c r="C418" s="90" t="s">
        <v>711</v>
      </c>
      <c r="D418" s="86">
        <v>173</v>
      </c>
      <c r="E418" s="86">
        <v>3</v>
      </c>
      <c r="F418" s="86">
        <v>7</v>
      </c>
      <c r="G418" s="86">
        <v>10.3</v>
      </c>
      <c r="H418" s="28" t="s">
        <v>15</v>
      </c>
      <c r="I418" s="28" t="s">
        <v>45</v>
      </c>
      <c r="J418" s="14" t="s">
        <v>42</v>
      </c>
    </row>
    <row r="419" spans="1:10">
      <c r="A419" s="1">
        <v>90000057</v>
      </c>
      <c r="B419" s="34">
        <v>1116</v>
      </c>
      <c r="C419" s="34" t="s">
        <v>666</v>
      </c>
      <c r="D419" s="86">
        <v>190</v>
      </c>
      <c r="E419" s="86">
        <v>7</v>
      </c>
      <c r="F419" s="86">
        <v>10.2</v>
      </c>
      <c r="G419" s="86">
        <v>10.9</v>
      </c>
      <c r="J419" s="14" t="s">
        <v>42</v>
      </c>
    </row>
    <row r="420" spans="1:10">
      <c r="A420" s="1">
        <v>90001017</v>
      </c>
      <c r="B420" s="65" t="s">
        <v>712</v>
      </c>
      <c r="C420" s="80"/>
      <c r="D420" s="90">
        <v>152</v>
      </c>
      <c r="E420" s="90">
        <v>4</v>
      </c>
      <c r="F420" s="90">
        <v>7</v>
      </c>
      <c r="G420" s="90">
        <v>9.7</v>
      </c>
      <c r="J420" s="14" t="s">
        <v>42</v>
      </c>
    </row>
    <row r="421" spans="1:10">
      <c r="A421" s="1">
        <v>90000115</v>
      </c>
      <c r="B421" s="34" t="s">
        <v>713</v>
      </c>
      <c r="C421" s="90" t="s">
        <v>714</v>
      </c>
      <c r="D421" s="86">
        <v>232</v>
      </c>
      <c r="E421" s="86">
        <v>4</v>
      </c>
      <c r="F421" s="86">
        <v>6</v>
      </c>
      <c r="G421" s="86">
        <v>9.6</v>
      </c>
      <c r="H421" s="67" t="s">
        <v>15</v>
      </c>
      <c r="I421" s="28" t="s">
        <v>584</v>
      </c>
      <c r="J421" s="14" t="s">
        <v>42</v>
      </c>
    </row>
    <row r="422" spans="1:10">
      <c r="A422" s="1">
        <v>90000196</v>
      </c>
      <c r="B422" s="34" t="s">
        <v>715</v>
      </c>
      <c r="C422" s="90" t="s">
        <v>716</v>
      </c>
      <c r="D422" s="86">
        <v>200</v>
      </c>
      <c r="E422" s="86">
        <v>4</v>
      </c>
      <c r="F422" s="86">
        <v>8</v>
      </c>
      <c r="G422" s="86">
        <v>10.2</v>
      </c>
      <c r="J422" s="14" t="s">
        <v>42</v>
      </c>
    </row>
    <row r="423" spans="1:10">
      <c r="A423" s="1">
        <v>90001019</v>
      </c>
      <c r="B423" s="65" t="s">
        <v>717</v>
      </c>
      <c r="C423" s="80"/>
      <c r="D423" s="90">
        <v>160</v>
      </c>
      <c r="E423" s="90">
        <v>3</v>
      </c>
      <c r="F423" s="90">
        <v>7</v>
      </c>
      <c r="G423" s="90">
        <v>9.2</v>
      </c>
      <c r="H423" s="87" t="s">
        <v>15</v>
      </c>
      <c r="I423" s="87" t="s">
        <v>49</v>
      </c>
      <c r="J423" s="14" t="s">
        <v>42</v>
      </c>
    </row>
    <row r="424" spans="1:10">
      <c r="A424" s="1">
        <v>90000020</v>
      </c>
      <c r="B424" s="34" t="s">
        <v>718</v>
      </c>
      <c r="C424" s="34" t="s">
        <v>719</v>
      </c>
      <c r="D424" s="86">
        <v>142</v>
      </c>
      <c r="E424" s="86">
        <v>4</v>
      </c>
      <c r="F424" s="86">
        <v>7</v>
      </c>
      <c r="G424" s="86">
        <v>9.6</v>
      </c>
      <c r="J424" s="14" t="s">
        <v>42</v>
      </c>
    </row>
    <row r="425" spans="1:10">
      <c r="A425" s="1">
        <v>90000098</v>
      </c>
      <c r="B425" s="34" t="s">
        <v>720</v>
      </c>
      <c r="C425" s="34" t="s">
        <v>705</v>
      </c>
      <c r="D425" s="86">
        <v>189</v>
      </c>
      <c r="E425" s="86">
        <v>4</v>
      </c>
      <c r="F425" s="86">
        <v>7</v>
      </c>
      <c r="G425" s="86">
        <v>10.4</v>
      </c>
      <c r="J425" s="14" t="s">
        <v>42</v>
      </c>
    </row>
    <row r="426" spans="1:10">
      <c r="A426" s="1">
        <v>90000097</v>
      </c>
      <c r="B426" s="34" t="s">
        <v>721</v>
      </c>
      <c r="C426" s="34" t="s">
        <v>649</v>
      </c>
      <c r="D426" s="86">
        <v>128</v>
      </c>
      <c r="E426" s="86">
        <v>2</v>
      </c>
      <c r="F426" s="86">
        <v>7</v>
      </c>
      <c r="G426" s="86">
        <v>9.6</v>
      </c>
      <c r="J426" s="14" t="s">
        <v>42</v>
      </c>
    </row>
    <row r="427" spans="1:10">
      <c r="A427" s="1">
        <v>90000095</v>
      </c>
      <c r="B427" s="34" t="s">
        <v>722</v>
      </c>
      <c r="C427" s="90" t="s">
        <v>723</v>
      </c>
      <c r="D427" s="86">
        <v>175</v>
      </c>
      <c r="E427" s="86">
        <v>1</v>
      </c>
      <c r="F427" s="86">
        <v>7</v>
      </c>
      <c r="G427" s="86">
        <v>10.5</v>
      </c>
      <c r="H427" s="91" t="s">
        <v>15</v>
      </c>
      <c r="I427" s="28" t="s">
        <v>359</v>
      </c>
      <c r="J427" s="14" t="s">
        <v>42</v>
      </c>
    </row>
    <row r="428" spans="1:10">
      <c r="A428" s="1">
        <v>90000116</v>
      </c>
      <c r="B428" s="34" t="s">
        <v>724</v>
      </c>
      <c r="C428" s="34" t="s">
        <v>725</v>
      </c>
      <c r="D428" s="86">
        <v>150</v>
      </c>
      <c r="E428" s="86">
        <v>4</v>
      </c>
      <c r="F428" s="86">
        <v>6</v>
      </c>
      <c r="G428" s="86">
        <v>9.6</v>
      </c>
      <c r="H428" s="87" t="s">
        <v>15</v>
      </c>
      <c r="I428" s="87" t="s">
        <v>16</v>
      </c>
      <c r="J428" s="14" t="s">
        <v>42</v>
      </c>
    </row>
    <row r="429" spans="1:10">
      <c r="A429" s="1">
        <v>90000185</v>
      </c>
      <c r="B429" s="34" t="s">
        <v>726</v>
      </c>
      <c r="C429" s="34" t="s">
        <v>727</v>
      </c>
      <c r="D429" s="86">
        <v>174</v>
      </c>
      <c r="E429" s="86">
        <v>4</v>
      </c>
      <c r="F429" s="86">
        <v>8</v>
      </c>
      <c r="G429" s="86">
        <v>10.7</v>
      </c>
      <c r="H429" s="28" t="s">
        <v>15</v>
      </c>
      <c r="I429" s="28" t="s">
        <v>289</v>
      </c>
      <c r="J429" s="14" t="s">
        <v>42</v>
      </c>
    </row>
    <row r="430" spans="1:10">
      <c r="A430" s="1">
        <v>90000153</v>
      </c>
      <c r="B430" s="34" t="s">
        <v>728</v>
      </c>
      <c r="C430" s="34" t="s">
        <v>729</v>
      </c>
      <c r="D430" s="86">
        <v>145</v>
      </c>
      <c r="E430" s="86">
        <v>4</v>
      </c>
      <c r="F430" s="86">
        <v>6</v>
      </c>
      <c r="G430" s="86">
        <v>9.6</v>
      </c>
      <c r="H430" s="28" t="s">
        <v>15</v>
      </c>
      <c r="I430" s="28" t="s">
        <v>24</v>
      </c>
      <c r="J430" s="14" t="s">
        <v>42</v>
      </c>
    </row>
    <row r="431" spans="1:10">
      <c r="A431" s="1">
        <v>90000128</v>
      </c>
      <c r="B431" s="34" t="s">
        <v>730</v>
      </c>
      <c r="C431" s="34" t="s">
        <v>668</v>
      </c>
      <c r="D431" s="86">
        <v>184</v>
      </c>
      <c r="E431" s="86">
        <v>4</v>
      </c>
      <c r="F431" s="86">
        <v>7</v>
      </c>
      <c r="G431" s="86">
        <v>10.3</v>
      </c>
      <c r="H431" s="28" t="s">
        <v>15</v>
      </c>
      <c r="I431" s="28" t="s">
        <v>24</v>
      </c>
      <c r="J431" s="14" t="s">
        <v>42</v>
      </c>
    </row>
    <row r="432" spans="1:10">
      <c r="A432" s="1">
        <v>90000052</v>
      </c>
      <c r="B432" s="34" t="s">
        <v>731</v>
      </c>
      <c r="C432" s="34" t="s">
        <v>622</v>
      </c>
      <c r="D432" s="86">
        <v>190</v>
      </c>
      <c r="E432" s="86">
        <v>4</v>
      </c>
      <c r="F432" s="86">
        <v>7</v>
      </c>
      <c r="G432" s="86">
        <v>10.4</v>
      </c>
      <c r="H432" s="28" t="s">
        <v>15</v>
      </c>
      <c r="I432" s="28" t="s">
        <v>24</v>
      </c>
      <c r="J432" s="14" t="s">
        <v>42</v>
      </c>
    </row>
    <row r="433" spans="1:10">
      <c r="A433" s="1">
        <v>90001021</v>
      </c>
      <c r="B433" s="65" t="s">
        <v>732</v>
      </c>
      <c r="C433" s="80"/>
      <c r="D433" s="90">
        <v>128</v>
      </c>
      <c r="E433" s="90">
        <v>5</v>
      </c>
      <c r="F433" s="90">
        <v>8</v>
      </c>
      <c r="G433" s="90">
        <v>9.7</v>
      </c>
      <c r="H433" s="93" t="s">
        <v>15</v>
      </c>
      <c r="I433" s="87" t="s">
        <v>510</v>
      </c>
      <c r="J433" s="14" t="s">
        <v>42</v>
      </c>
    </row>
    <row r="434" spans="1:10">
      <c r="A434" s="1">
        <v>90001012</v>
      </c>
      <c r="B434" s="65" t="s">
        <v>733</v>
      </c>
      <c r="C434" s="80"/>
      <c r="D434" s="90">
        <v>182</v>
      </c>
      <c r="E434" s="90">
        <v>3</v>
      </c>
      <c r="F434" s="90">
        <v>6</v>
      </c>
      <c r="G434" s="90">
        <v>8</v>
      </c>
      <c r="J434" s="14" t="s">
        <v>42</v>
      </c>
    </row>
    <row r="435" spans="1:10">
      <c r="A435" s="1">
        <v>90000182</v>
      </c>
      <c r="B435" s="34" t="s">
        <v>734</v>
      </c>
      <c r="C435" s="90" t="s">
        <v>735</v>
      </c>
      <c r="D435" s="86">
        <v>180</v>
      </c>
      <c r="E435" s="86">
        <v>3</v>
      </c>
      <c r="F435" s="86">
        <v>8</v>
      </c>
      <c r="G435" s="86">
        <v>9.8</v>
      </c>
      <c r="H435" s="28" t="s">
        <v>15</v>
      </c>
      <c r="I435" s="28" t="s">
        <v>24</v>
      </c>
      <c r="J435" s="14" t="s">
        <v>42</v>
      </c>
    </row>
    <row r="436" spans="1:10">
      <c r="A436" s="1">
        <v>90000131</v>
      </c>
      <c r="B436" s="34" t="s">
        <v>736</v>
      </c>
      <c r="C436" s="34" t="s">
        <v>447</v>
      </c>
      <c r="D436" s="86">
        <v>280</v>
      </c>
      <c r="E436" s="86">
        <v>3</v>
      </c>
      <c r="F436" s="86">
        <v>7</v>
      </c>
      <c r="G436" s="86">
        <v>10.3</v>
      </c>
      <c r="H436" s="28" t="s">
        <v>15</v>
      </c>
      <c r="I436" s="28" t="s">
        <v>24</v>
      </c>
      <c r="J436" s="14" t="s">
        <v>42</v>
      </c>
    </row>
    <row r="437" spans="1:10">
      <c r="A437" s="1">
        <v>90000160</v>
      </c>
      <c r="B437" s="34" t="s">
        <v>737</v>
      </c>
      <c r="C437" s="34" t="s">
        <v>738</v>
      </c>
      <c r="D437" s="86">
        <v>128</v>
      </c>
      <c r="E437" s="86">
        <v>4</v>
      </c>
      <c r="F437" s="86">
        <v>8</v>
      </c>
      <c r="G437" s="86">
        <v>10.5</v>
      </c>
      <c r="J437" s="14" t="s">
        <v>42</v>
      </c>
    </row>
    <row r="438" spans="1:10">
      <c r="A438" s="1">
        <v>90000194</v>
      </c>
      <c r="B438" s="34" t="s">
        <v>739</v>
      </c>
      <c r="C438" s="34" t="s">
        <v>740</v>
      </c>
      <c r="D438" s="86">
        <v>115</v>
      </c>
      <c r="E438" s="86">
        <v>3</v>
      </c>
      <c r="F438" s="86">
        <v>7</v>
      </c>
      <c r="G438" s="86">
        <v>10.2</v>
      </c>
      <c r="J438" s="14" t="s">
        <v>42</v>
      </c>
    </row>
    <row r="439" spans="1:10">
      <c r="A439" s="1">
        <v>90000167</v>
      </c>
      <c r="B439" s="34" t="s">
        <v>741</v>
      </c>
      <c r="C439" s="90" t="s">
        <v>742</v>
      </c>
      <c r="D439" s="86">
        <v>140</v>
      </c>
      <c r="E439" s="86">
        <v>3</v>
      </c>
      <c r="F439" s="86">
        <v>7</v>
      </c>
      <c r="G439" s="86">
        <v>9.1</v>
      </c>
      <c r="J439" s="14" t="s">
        <v>42</v>
      </c>
    </row>
    <row r="440" spans="1:10">
      <c r="A440" s="1">
        <v>90000014</v>
      </c>
      <c r="B440" s="34" t="s">
        <v>743</v>
      </c>
      <c r="C440" s="34" t="s">
        <v>653</v>
      </c>
      <c r="D440" s="86">
        <v>160</v>
      </c>
      <c r="E440" s="86">
        <v>5</v>
      </c>
      <c r="F440" s="86">
        <v>7</v>
      </c>
      <c r="G440" s="86">
        <v>9.4</v>
      </c>
      <c r="H440" s="28" t="s">
        <v>15</v>
      </c>
      <c r="I440" s="28" t="s">
        <v>45</v>
      </c>
      <c r="J440" s="14" t="s">
        <v>42</v>
      </c>
    </row>
    <row r="441" spans="1:10">
      <c r="A441" s="1">
        <v>90000253</v>
      </c>
      <c r="B441" s="34" t="s">
        <v>744</v>
      </c>
      <c r="C441" s="90" t="s">
        <v>745</v>
      </c>
      <c r="D441" s="86">
        <v>185</v>
      </c>
      <c r="E441" s="86">
        <v>4</v>
      </c>
      <c r="F441" s="86">
        <v>7</v>
      </c>
      <c r="G441" s="86">
        <v>10.4</v>
      </c>
      <c r="J441" s="14" t="s">
        <v>42</v>
      </c>
    </row>
    <row r="442" spans="1:10">
      <c r="A442" s="1">
        <v>90000064</v>
      </c>
      <c r="B442" s="34" t="s">
        <v>746</v>
      </c>
      <c r="C442" s="34" t="s">
        <v>747</v>
      </c>
      <c r="D442" s="86">
        <v>190</v>
      </c>
      <c r="E442" s="86">
        <v>6</v>
      </c>
      <c r="F442" s="86">
        <v>9.3</v>
      </c>
      <c r="G442" s="86">
        <v>10.8</v>
      </c>
      <c r="J442" s="14" t="s">
        <v>42</v>
      </c>
    </row>
    <row r="443" spans="1:10">
      <c r="A443" s="1">
        <v>90000006</v>
      </c>
      <c r="B443" s="34" t="s">
        <v>748</v>
      </c>
      <c r="C443" s="34" t="s">
        <v>647</v>
      </c>
      <c r="D443" s="86">
        <v>170</v>
      </c>
      <c r="E443" s="86">
        <v>3</v>
      </c>
      <c r="F443" s="86">
        <v>6</v>
      </c>
      <c r="G443" s="86">
        <v>8</v>
      </c>
      <c r="H443" s="28" t="s">
        <v>15</v>
      </c>
      <c r="I443" s="28" t="s">
        <v>24</v>
      </c>
      <c r="J443" s="14" t="s">
        <v>42</v>
      </c>
    </row>
    <row r="444" spans="1:10">
      <c r="A444" s="1">
        <v>90000065</v>
      </c>
      <c r="B444" s="34" t="s">
        <v>749</v>
      </c>
      <c r="C444" s="34" t="s">
        <v>629</v>
      </c>
      <c r="D444" s="86">
        <v>152</v>
      </c>
      <c r="E444" s="86">
        <v>2</v>
      </c>
      <c r="F444" s="86">
        <v>7</v>
      </c>
      <c r="G444" s="86">
        <v>10.3</v>
      </c>
      <c r="J444" s="14" t="s">
        <v>42</v>
      </c>
    </row>
    <row r="445" spans="1:10">
      <c r="A445" s="1">
        <v>90000184</v>
      </c>
      <c r="B445" s="34" t="s">
        <v>750</v>
      </c>
      <c r="C445" s="90" t="s">
        <v>751</v>
      </c>
      <c r="D445" s="86">
        <v>180</v>
      </c>
      <c r="E445" s="86">
        <v>4</v>
      </c>
      <c r="F445" s="86">
        <v>6</v>
      </c>
      <c r="G445" s="86">
        <v>10.2</v>
      </c>
      <c r="J445" s="14" t="s">
        <v>42</v>
      </c>
    </row>
    <row r="446" spans="1:10">
      <c r="A446" s="1">
        <v>90000164</v>
      </c>
      <c r="B446" s="34" t="s">
        <v>752</v>
      </c>
      <c r="C446" s="90" t="s">
        <v>753</v>
      </c>
      <c r="D446" s="86">
        <v>180</v>
      </c>
      <c r="E446" s="86">
        <v>3</v>
      </c>
      <c r="F446" s="86">
        <v>6</v>
      </c>
      <c r="G446" s="86">
        <v>10.2</v>
      </c>
      <c r="J446" s="14" t="s">
        <v>42</v>
      </c>
    </row>
    <row r="447" spans="1:10">
      <c r="A447" s="1">
        <v>90000143</v>
      </c>
      <c r="B447" s="34" t="s">
        <v>754</v>
      </c>
      <c r="C447" s="34" t="s">
        <v>465</v>
      </c>
      <c r="D447" s="86">
        <v>150</v>
      </c>
      <c r="E447" s="86">
        <v>3</v>
      </c>
      <c r="F447" s="86">
        <v>7</v>
      </c>
      <c r="G447" s="86">
        <v>10</v>
      </c>
      <c r="H447" s="92" t="s">
        <v>15</v>
      </c>
      <c r="I447" s="28" t="s">
        <v>429</v>
      </c>
      <c r="J447" s="14" t="s">
        <v>42</v>
      </c>
    </row>
    <row r="448" spans="1:10">
      <c r="A448" s="1">
        <v>90000134</v>
      </c>
      <c r="B448" s="34" t="s">
        <v>755</v>
      </c>
      <c r="C448" s="34" t="s">
        <v>747</v>
      </c>
      <c r="D448" s="86">
        <v>190</v>
      </c>
      <c r="E448" s="86">
        <v>5</v>
      </c>
      <c r="F448" s="86">
        <v>8</v>
      </c>
      <c r="G448" s="86">
        <v>10.5</v>
      </c>
      <c r="J448" s="14" t="s">
        <v>42</v>
      </c>
    </row>
    <row r="449" spans="1:10">
      <c r="A449" s="1">
        <v>90000017</v>
      </c>
      <c r="B449" s="34" t="s">
        <v>756</v>
      </c>
      <c r="C449" s="34" t="s">
        <v>757</v>
      </c>
      <c r="D449" s="86">
        <v>150</v>
      </c>
      <c r="E449" s="86">
        <v>3</v>
      </c>
      <c r="F449" s="86">
        <v>7</v>
      </c>
      <c r="G449" s="86">
        <v>10.2</v>
      </c>
      <c r="H449" s="28" t="s">
        <v>15</v>
      </c>
      <c r="I449" s="28" t="s">
        <v>148</v>
      </c>
      <c r="J449" s="14" t="s">
        <v>42</v>
      </c>
    </row>
    <row r="450" spans="1:10">
      <c r="A450" s="1">
        <v>90000252</v>
      </c>
      <c r="B450" s="34" t="s">
        <v>758</v>
      </c>
      <c r="C450" s="90" t="s">
        <v>759</v>
      </c>
      <c r="D450" s="86">
        <v>190</v>
      </c>
      <c r="E450" s="86">
        <v>5</v>
      </c>
      <c r="F450" s="86">
        <v>8</v>
      </c>
      <c r="G450" s="86">
        <v>10.4</v>
      </c>
      <c r="J450" s="14" t="s">
        <v>42</v>
      </c>
    </row>
    <row r="451" spans="1:10">
      <c r="A451" s="1">
        <v>90000124</v>
      </c>
      <c r="B451" s="34" t="s">
        <v>760</v>
      </c>
      <c r="C451" s="34" t="s">
        <v>761</v>
      </c>
      <c r="D451" s="86">
        <v>185</v>
      </c>
      <c r="E451" s="86">
        <v>4</v>
      </c>
      <c r="F451" s="86">
        <v>8</v>
      </c>
      <c r="G451" s="86">
        <v>10.6</v>
      </c>
      <c r="H451" s="28" t="s">
        <v>15</v>
      </c>
      <c r="I451" s="28" t="s">
        <v>394</v>
      </c>
      <c r="J451" s="14" t="s">
        <v>42</v>
      </c>
    </row>
    <row r="452" spans="1:10">
      <c r="A452" s="1">
        <v>90000215</v>
      </c>
      <c r="B452" s="34" t="s">
        <v>762</v>
      </c>
      <c r="C452" s="34" t="s">
        <v>738</v>
      </c>
      <c r="D452" s="86">
        <v>170</v>
      </c>
      <c r="E452" s="86">
        <v>6</v>
      </c>
      <c r="F452" s="86">
        <v>8</v>
      </c>
      <c r="G452" s="86">
        <v>10.6</v>
      </c>
      <c r="J452" s="14" t="s">
        <v>42</v>
      </c>
    </row>
    <row r="453" spans="1:10">
      <c r="A453" s="1">
        <v>90000059</v>
      </c>
      <c r="B453" s="34" t="s">
        <v>763</v>
      </c>
      <c r="C453" s="34" t="s">
        <v>764</v>
      </c>
      <c r="D453" s="86">
        <v>298</v>
      </c>
      <c r="E453" s="86">
        <v>7</v>
      </c>
      <c r="F453" s="86">
        <v>9.5</v>
      </c>
      <c r="G453" s="86">
        <v>10.7</v>
      </c>
      <c r="H453" s="93" t="s">
        <v>15</v>
      </c>
      <c r="I453" s="87" t="s">
        <v>510</v>
      </c>
      <c r="J453" s="14" t="s">
        <v>42</v>
      </c>
    </row>
    <row r="454" spans="1:10">
      <c r="A454" s="1">
        <v>90001015</v>
      </c>
      <c r="B454" s="65" t="s">
        <v>765</v>
      </c>
      <c r="C454" s="80"/>
      <c r="D454" s="90">
        <v>158</v>
      </c>
      <c r="E454" s="90">
        <v>4</v>
      </c>
      <c r="F454" s="90">
        <v>7</v>
      </c>
      <c r="G454" s="90">
        <v>9.3</v>
      </c>
      <c r="H454" s="93" t="s">
        <v>15</v>
      </c>
      <c r="I454" s="87" t="s">
        <v>510</v>
      </c>
      <c r="J454" s="14" t="s">
        <v>42</v>
      </c>
    </row>
    <row r="455" spans="1:10">
      <c r="A455" s="1">
        <v>90001013</v>
      </c>
      <c r="B455" s="65" t="s">
        <v>766</v>
      </c>
      <c r="C455" s="80"/>
      <c r="D455" s="90">
        <v>181</v>
      </c>
      <c r="E455" s="90">
        <v>4</v>
      </c>
      <c r="F455" s="90">
        <v>7</v>
      </c>
      <c r="G455" s="90">
        <v>10.1</v>
      </c>
      <c r="H455" s="87" t="s">
        <v>15</v>
      </c>
      <c r="I455" s="87" t="s">
        <v>49</v>
      </c>
      <c r="J455" s="14" t="s">
        <v>42</v>
      </c>
    </row>
    <row r="456" spans="1:10">
      <c r="A456" s="1">
        <v>90000009</v>
      </c>
      <c r="B456" s="34" t="s">
        <v>767</v>
      </c>
      <c r="C456" s="34" t="s">
        <v>35</v>
      </c>
      <c r="D456" s="86">
        <v>180</v>
      </c>
      <c r="E456" s="86">
        <v>5</v>
      </c>
      <c r="F456" s="86">
        <v>7</v>
      </c>
      <c r="G456" s="86">
        <v>10.5</v>
      </c>
      <c r="H456" s="28" t="s">
        <v>15</v>
      </c>
      <c r="I456" s="28" t="s">
        <v>24</v>
      </c>
      <c r="J456" s="14" t="s">
        <v>42</v>
      </c>
    </row>
    <row r="457" spans="1:10">
      <c r="A457" s="1">
        <v>90000165</v>
      </c>
      <c r="B457" s="34" t="s">
        <v>768</v>
      </c>
      <c r="C457" s="34" t="s">
        <v>769</v>
      </c>
      <c r="D457" s="86">
        <v>268</v>
      </c>
      <c r="E457" s="86">
        <v>4</v>
      </c>
      <c r="F457" s="86">
        <v>7</v>
      </c>
      <c r="G457" s="86">
        <v>9.7</v>
      </c>
      <c r="H457" s="67" t="s">
        <v>15</v>
      </c>
      <c r="I457" s="28" t="s">
        <v>584</v>
      </c>
      <c r="J457" s="14" t="s">
        <v>42</v>
      </c>
    </row>
    <row r="458" spans="1:10">
      <c r="A458" s="1">
        <v>90000243</v>
      </c>
      <c r="B458" s="34" t="s">
        <v>770</v>
      </c>
      <c r="C458" s="90" t="s">
        <v>771</v>
      </c>
      <c r="D458" s="86">
        <v>125</v>
      </c>
      <c r="E458" s="86">
        <v>3</v>
      </c>
      <c r="F458" s="86">
        <v>5</v>
      </c>
      <c r="G458" s="86">
        <v>8</v>
      </c>
      <c r="H458" s="28" t="s">
        <v>15</v>
      </c>
      <c r="I458" s="28" t="s">
        <v>45</v>
      </c>
      <c r="J458" s="14" t="s">
        <v>42</v>
      </c>
    </row>
    <row r="459" spans="1:10">
      <c r="A459" s="1">
        <v>90000096</v>
      </c>
      <c r="B459" s="34" t="s">
        <v>772</v>
      </c>
      <c r="C459" s="34" t="s">
        <v>773</v>
      </c>
      <c r="D459" s="86">
        <v>160</v>
      </c>
      <c r="E459" s="86">
        <v>3</v>
      </c>
      <c r="F459" s="86">
        <v>6</v>
      </c>
      <c r="G459" s="86">
        <v>10.6</v>
      </c>
      <c r="J459" s="14" t="s">
        <v>42</v>
      </c>
    </row>
    <row r="460" spans="1:10">
      <c r="A460" s="1">
        <v>90000180</v>
      </c>
      <c r="B460" s="34" t="s">
        <v>774</v>
      </c>
      <c r="C460" s="90" t="s">
        <v>775</v>
      </c>
      <c r="D460" s="86">
        <v>190</v>
      </c>
      <c r="E460" s="86">
        <v>3</v>
      </c>
      <c r="F460" s="86">
        <v>7</v>
      </c>
      <c r="G460" s="86">
        <v>10.1</v>
      </c>
      <c r="J460" s="14" t="s">
        <v>42</v>
      </c>
    </row>
    <row r="461" spans="1:10">
      <c r="B461" s="94" t="s">
        <v>776</v>
      </c>
      <c r="C461" s="80"/>
      <c r="D461" s="90">
        <v>190</v>
      </c>
      <c r="E461" s="90">
        <v>3</v>
      </c>
      <c r="F461" s="90">
        <v>7</v>
      </c>
      <c r="G461" s="90">
        <v>10.2</v>
      </c>
      <c r="H461" s="28" t="s">
        <v>777</v>
      </c>
      <c r="J461" s="14" t="s">
        <v>42</v>
      </c>
    </row>
    <row r="462" spans="1:10">
      <c r="B462" s="94" t="s">
        <v>778</v>
      </c>
      <c r="C462" s="80"/>
      <c r="D462" s="90">
        <v>200</v>
      </c>
      <c r="E462" s="90">
        <v>4</v>
      </c>
      <c r="F462" s="90">
        <v>7</v>
      </c>
      <c r="G462" s="90">
        <v>9.6</v>
      </c>
      <c r="H462" s="28" t="s">
        <v>777</v>
      </c>
      <c r="J462" s="14" t="s">
        <v>42</v>
      </c>
    </row>
    <row r="463" spans="1:10">
      <c r="A463" s="1">
        <v>90000121</v>
      </c>
      <c r="B463" s="34" t="s">
        <v>779</v>
      </c>
      <c r="C463" s="34" t="s">
        <v>780</v>
      </c>
      <c r="D463" s="86">
        <v>150</v>
      </c>
      <c r="E463" s="86">
        <v>4</v>
      </c>
      <c r="F463" s="86">
        <v>7</v>
      </c>
      <c r="G463" s="86">
        <v>10.1</v>
      </c>
      <c r="J463" s="14" t="s">
        <v>42</v>
      </c>
    </row>
    <row r="464" spans="1:10">
      <c r="A464" s="1">
        <v>90000046</v>
      </c>
      <c r="B464" s="34" t="s">
        <v>781</v>
      </c>
      <c r="C464" s="34" t="s">
        <v>14</v>
      </c>
      <c r="D464" s="86">
        <v>140</v>
      </c>
      <c r="E464" s="86">
        <v>3</v>
      </c>
      <c r="F464" s="86">
        <v>6</v>
      </c>
      <c r="G464" s="86">
        <v>9.5</v>
      </c>
      <c r="H464" s="28" t="s">
        <v>15</v>
      </c>
      <c r="I464" s="28" t="s">
        <v>433</v>
      </c>
      <c r="J464" s="14" t="s">
        <v>42</v>
      </c>
    </row>
    <row r="465" spans="1:10">
      <c r="A465" s="1">
        <v>90000190</v>
      </c>
      <c r="B465" s="34" t="s">
        <v>782</v>
      </c>
      <c r="C465" s="90" t="s">
        <v>783</v>
      </c>
      <c r="D465" s="86">
        <v>276</v>
      </c>
      <c r="E465" s="86">
        <v>3</v>
      </c>
      <c r="F465" s="86">
        <v>7</v>
      </c>
      <c r="G465" s="86">
        <v>9.2</v>
      </c>
      <c r="J465" s="14" t="s">
        <v>42</v>
      </c>
    </row>
    <row r="466" spans="1:10">
      <c r="A466" s="1">
        <v>90000186</v>
      </c>
      <c r="B466" s="34" t="s">
        <v>784</v>
      </c>
      <c r="C466" s="90" t="s">
        <v>785</v>
      </c>
      <c r="D466" s="86">
        <v>160</v>
      </c>
      <c r="E466" s="86">
        <v>3</v>
      </c>
      <c r="F466" s="86">
        <v>6</v>
      </c>
      <c r="G466" s="86">
        <v>9</v>
      </c>
      <c r="J466" s="14" t="s">
        <v>42</v>
      </c>
    </row>
    <row r="467" spans="1:10">
      <c r="A467" s="1">
        <v>90000099</v>
      </c>
      <c r="B467" s="34" t="s">
        <v>786</v>
      </c>
      <c r="C467" s="34" t="s">
        <v>414</v>
      </c>
      <c r="D467" s="86">
        <v>200</v>
      </c>
      <c r="E467" s="86">
        <v>3</v>
      </c>
      <c r="F467" s="86">
        <v>6</v>
      </c>
      <c r="G467" s="86">
        <v>10.1</v>
      </c>
      <c r="H467" s="92" t="s">
        <v>15</v>
      </c>
      <c r="I467" s="28" t="s">
        <v>429</v>
      </c>
      <c r="J467" s="14" t="s">
        <v>42</v>
      </c>
    </row>
    <row r="468" ht="28.8" spans="1:10">
      <c r="A468" s="1">
        <v>90000188</v>
      </c>
      <c r="B468" s="34" t="s">
        <v>787</v>
      </c>
      <c r="C468" s="90" t="s">
        <v>788</v>
      </c>
      <c r="D468" s="86">
        <v>142</v>
      </c>
      <c r="E468" s="86">
        <v>2</v>
      </c>
      <c r="F468" s="86">
        <v>6</v>
      </c>
      <c r="G468" s="86">
        <v>9.6</v>
      </c>
      <c r="J468" s="14" t="s">
        <v>42</v>
      </c>
    </row>
    <row r="469" spans="1:10">
      <c r="A469" s="1">
        <v>90000132</v>
      </c>
      <c r="B469" s="34" t="s">
        <v>789</v>
      </c>
      <c r="C469" s="34" t="s">
        <v>790</v>
      </c>
      <c r="D469" s="86">
        <v>174</v>
      </c>
      <c r="E469" s="86">
        <v>4</v>
      </c>
      <c r="F469" s="86">
        <v>8</v>
      </c>
      <c r="G469" s="86">
        <v>10.1</v>
      </c>
      <c r="H469" s="67" t="s">
        <v>15</v>
      </c>
      <c r="I469" s="28" t="s">
        <v>584</v>
      </c>
      <c r="J469" s="14" t="s">
        <v>42</v>
      </c>
    </row>
    <row r="470" spans="1:10">
      <c r="A470" s="1">
        <v>90000157</v>
      </c>
      <c r="B470" s="34" t="s">
        <v>791</v>
      </c>
      <c r="C470" s="34" t="s">
        <v>792</v>
      </c>
      <c r="D470" s="86">
        <v>190</v>
      </c>
      <c r="E470" s="86">
        <v>4</v>
      </c>
      <c r="F470" s="86">
        <v>7</v>
      </c>
      <c r="G470" s="86">
        <v>10.3</v>
      </c>
      <c r="H470" s="28" t="s">
        <v>15</v>
      </c>
      <c r="I470" s="28" t="s">
        <v>24</v>
      </c>
      <c r="J470" s="14" t="s">
        <v>42</v>
      </c>
    </row>
    <row r="471" spans="1:10">
      <c r="A471" s="1">
        <v>90000150</v>
      </c>
      <c r="B471" s="34" t="s">
        <v>793</v>
      </c>
      <c r="C471" s="90" t="s">
        <v>794</v>
      </c>
      <c r="D471" s="86">
        <v>178</v>
      </c>
      <c r="E471" s="86">
        <v>3</v>
      </c>
      <c r="F471" s="86">
        <v>6</v>
      </c>
      <c r="G471" s="86">
        <v>9.7</v>
      </c>
      <c r="J471" s="14" t="s">
        <v>42</v>
      </c>
    </row>
    <row r="472" spans="1:10">
      <c r="A472" s="1">
        <v>90001025</v>
      </c>
      <c r="B472" s="65" t="s">
        <v>795</v>
      </c>
      <c r="C472" s="80"/>
      <c r="D472" s="90">
        <v>175</v>
      </c>
      <c r="E472" s="90">
        <v>4</v>
      </c>
      <c r="F472" s="90">
        <v>9.2</v>
      </c>
      <c r="G472" s="90">
        <v>10.6</v>
      </c>
      <c r="J472" s="14" t="s">
        <v>42</v>
      </c>
    </row>
    <row r="473" spans="1:10">
      <c r="A473" s="1">
        <v>90000101</v>
      </c>
      <c r="B473" s="34" t="s">
        <v>796</v>
      </c>
      <c r="C473" s="34" t="s">
        <v>674</v>
      </c>
      <c r="D473" s="86">
        <v>190</v>
      </c>
      <c r="E473" s="86">
        <v>3</v>
      </c>
      <c r="F473" s="86">
        <v>6</v>
      </c>
      <c r="G473" s="86">
        <v>10.2</v>
      </c>
      <c r="H473" s="28" t="s">
        <v>15</v>
      </c>
      <c r="I473" s="28" t="s">
        <v>24</v>
      </c>
      <c r="J473" s="14" t="s">
        <v>42</v>
      </c>
    </row>
    <row r="474" spans="1:10">
      <c r="A474" s="1">
        <v>90000142</v>
      </c>
      <c r="B474" s="34" t="s">
        <v>797</v>
      </c>
      <c r="C474" s="34" t="s">
        <v>798</v>
      </c>
      <c r="D474" s="86">
        <v>175</v>
      </c>
      <c r="E474" s="86">
        <v>4</v>
      </c>
      <c r="F474" s="86">
        <v>8</v>
      </c>
      <c r="G474" s="86">
        <v>10.1</v>
      </c>
      <c r="J474" s="14" t="s">
        <v>42</v>
      </c>
    </row>
    <row r="475" spans="1:10">
      <c r="A475" s="1">
        <v>90000047</v>
      </c>
      <c r="B475" s="34" t="s">
        <v>799</v>
      </c>
      <c r="C475" s="34" t="s">
        <v>800</v>
      </c>
      <c r="D475" s="86">
        <v>190</v>
      </c>
      <c r="E475" s="86">
        <v>6</v>
      </c>
      <c r="F475" s="86">
        <v>9.6</v>
      </c>
      <c r="G475" s="86">
        <v>10.7</v>
      </c>
      <c r="J475" s="14" t="s">
        <v>42</v>
      </c>
    </row>
    <row r="476" spans="1:10">
      <c r="A476" s="1">
        <v>90000016</v>
      </c>
      <c r="B476" s="34" t="s">
        <v>801</v>
      </c>
      <c r="C476" s="34" t="s">
        <v>790</v>
      </c>
      <c r="D476" s="86">
        <v>165</v>
      </c>
      <c r="E476" s="86">
        <v>4</v>
      </c>
      <c r="F476" s="86">
        <v>7</v>
      </c>
      <c r="G476" s="86">
        <v>10.1</v>
      </c>
      <c r="H476" s="28" t="s">
        <v>15</v>
      </c>
      <c r="I476" s="28" t="s">
        <v>95</v>
      </c>
      <c r="J476" s="14" t="s">
        <v>42</v>
      </c>
    </row>
    <row r="477" spans="1:10">
      <c r="A477" s="1">
        <v>90000005</v>
      </c>
      <c r="B477" s="34" t="s">
        <v>802</v>
      </c>
      <c r="C477" s="34" t="s">
        <v>803</v>
      </c>
      <c r="D477" s="86">
        <v>150</v>
      </c>
      <c r="E477" s="86">
        <v>3</v>
      </c>
      <c r="F477" s="86">
        <v>6</v>
      </c>
      <c r="G477" s="86">
        <v>9.3</v>
      </c>
      <c r="H477" s="28" t="s">
        <v>15</v>
      </c>
      <c r="I477" s="28" t="s">
        <v>24</v>
      </c>
      <c r="J477" s="14" t="s">
        <v>42</v>
      </c>
    </row>
    <row r="478" spans="1:10">
      <c r="A478" s="1">
        <v>90000045</v>
      </c>
      <c r="B478" s="34" t="s">
        <v>804</v>
      </c>
      <c r="C478" s="34" t="s">
        <v>805</v>
      </c>
      <c r="D478" s="86">
        <v>185</v>
      </c>
      <c r="E478" s="86">
        <v>5</v>
      </c>
      <c r="F478" s="86">
        <v>9.7</v>
      </c>
      <c r="G478" s="86">
        <v>10.6</v>
      </c>
      <c r="J478" s="14" t="s">
        <v>42</v>
      </c>
    </row>
    <row r="479" spans="1:10">
      <c r="B479" s="94" t="s">
        <v>806</v>
      </c>
      <c r="C479" s="80"/>
      <c r="D479" s="90">
        <v>170</v>
      </c>
      <c r="E479" s="90">
        <v>5</v>
      </c>
      <c r="F479" s="90">
        <v>8</v>
      </c>
      <c r="G479" s="90">
        <v>10.5</v>
      </c>
      <c r="H479" s="28" t="s">
        <v>777</v>
      </c>
      <c r="J479" s="14" t="s">
        <v>42</v>
      </c>
    </row>
    <row r="480" spans="1:10">
      <c r="B480" s="94" t="s">
        <v>807</v>
      </c>
      <c r="C480" s="80"/>
      <c r="D480" s="90">
        <v>157</v>
      </c>
      <c r="E480" s="90">
        <v>4</v>
      </c>
      <c r="F480" s="90">
        <v>6</v>
      </c>
      <c r="G480" s="90">
        <v>9.2</v>
      </c>
      <c r="H480" s="28" t="s">
        <v>777</v>
      </c>
      <c r="J480" s="14" t="s">
        <v>42</v>
      </c>
    </row>
    <row r="481" spans="1:10">
      <c r="A481" s="1">
        <v>90000015</v>
      </c>
      <c r="B481" s="34" t="s">
        <v>808</v>
      </c>
      <c r="C481" s="34" t="s">
        <v>617</v>
      </c>
      <c r="D481" s="86">
        <v>150</v>
      </c>
      <c r="E481" s="86">
        <v>4</v>
      </c>
      <c r="F481" s="86">
        <v>7</v>
      </c>
      <c r="G481" s="86">
        <v>9.7</v>
      </c>
      <c r="H481" s="28" t="s">
        <v>15</v>
      </c>
      <c r="I481" s="28" t="s">
        <v>289</v>
      </c>
      <c r="J481" s="14" t="s">
        <v>42</v>
      </c>
    </row>
    <row r="482" spans="1:10">
      <c r="A482" s="1">
        <v>90000100</v>
      </c>
      <c r="B482" s="34" t="s">
        <v>809</v>
      </c>
      <c r="C482" s="34" t="s">
        <v>53</v>
      </c>
      <c r="D482" s="86">
        <v>230</v>
      </c>
      <c r="E482" s="86">
        <v>7</v>
      </c>
      <c r="F482" s="86">
        <v>9.7</v>
      </c>
      <c r="G482" s="86">
        <v>10.9</v>
      </c>
      <c r="J482" s="14" t="s">
        <v>42</v>
      </c>
    </row>
    <row r="483" spans="1:10">
      <c r="A483" s="1">
        <v>90000144</v>
      </c>
      <c r="B483" s="34" t="s">
        <v>810</v>
      </c>
      <c r="C483" s="34" t="s">
        <v>659</v>
      </c>
      <c r="D483" s="86">
        <v>174</v>
      </c>
      <c r="E483" s="86">
        <v>5</v>
      </c>
      <c r="F483" s="86">
        <v>7</v>
      </c>
      <c r="G483" s="86">
        <v>9.8</v>
      </c>
      <c r="J483" s="14" t="s">
        <v>42</v>
      </c>
    </row>
    <row r="484" spans="1:10">
      <c r="A484" s="1">
        <v>90000010</v>
      </c>
      <c r="B484" s="34" t="s">
        <v>811</v>
      </c>
      <c r="C484" s="34" t="s">
        <v>812</v>
      </c>
      <c r="D484" s="86">
        <v>175</v>
      </c>
      <c r="E484" s="86">
        <v>4</v>
      </c>
      <c r="F484" s="86">
        <v>7</v>
      </c>
      <c r="G484" s="86">
        <v>10.6</v>
      </c>
      <c r="H484" s="28" t="s">
        <v>15</v>
      </c>
      <c r="I484" s="28" t="s">
        <v>24</v>
      </c>
      <c r="J484" s="14" t="s">
        <v>42</v>
      </c>
    </row>
    <row r="485" spans="1:10">
      <c r="A485" s="1">
        <v>90000004</v>
      </c>
      <c r="B485" s="34" t="s">
        <v>813</v>
      </c>
      <c r="C485" s="34" t="s">
        <v>414</v>
      </c>
      <c r="D485" s="86" t="s">
        <v>814</v>
      </c>
      <c r="E485" s="86">
        <v>4</v>
      </c>
      <c r="F485" s="86">
        <v>7</v>
      </c>
      <c r="G485" s="86">
        <v>10.2</v>
      </c>
      <c r="H485" s="28" t="s">
        <v>15</v>
      </c>
      <c r="I485" s="28" t="s">
        <v>148</v>
      </c>
      <c r="J485" s="14" t="s">
        <v>42</v>
      </c>
    </row>
    <row r="486" spans="1:10">
      <c r="B486" s="94" t="s">
        <v>815</v>
      </c>
      <c r="C486" s="80"/>
      <c r="D486" s="90">
        <v>181</v>
      </c>
      <c r="E486" s="90">
        <v>5</v>
      </c>
      <c r="F486" s="90">
        <v>8</v>
      </c>
      <c r="G486" s="90">
        <v>9.5</v>
      </c>
      <c r="H486" s="28" t="s">
        <v>777</v>
      </c>
      <c r="J486" s="14" t="s">
        <v>42</v>
      </c>
    </row>
    <row r="487" spans="1:10">
      <c r="B487" s="94" t="s">
        <v>816</v>
      </c>
      <c r="C487" s="80"/>
      <c r="D487" s="90">
        <v>179</v>
      </c>
      <c r="E487" s="90">
        <v>3</v>
      </c>
      <c r="F487" s="90">
        <v>7</v>
      </c>
      <c r="G487" s="90">
        <v>9.6</v>
      </c>
      <c r="H487" s="28" t="s">
        <v>777</v>
      </c>
      <c r="J487" s="14" t="s">
        <v>42</v>
      </c>
    </row>
    <row r="488" spans="1:10">
      <c r="A488" s="1">
        <v>90000112</v>
      </c>
      <c r="B488" s="34" t="s">
        <v>817</v>
      </c>
      <c r="C488" s="90" t="s">
        <v>818</v>
      </c>
      <c r="D488" s="86">
        <v>130</v>
      </c>
      <c r="E488" s="86">
        <v>4</v>
      </c>
      <c r="F488" s="86">
        <v>6</v>
      </c>
      <c r="G488" s="86">
        <v>9.5</v>
      </c>
      <c r="H488" s="40" t="s">
        <v>15</v>
      </c>
      <c r="I488" s="28" t="s">
        <v>257</v>
      </c>
      <c r="J488" s="14" t="s">
        <v>42</v>
      </c>
    </row>
    <row r="489" spans="1:10">
      <c r="B489" s="94" t="s">
        <v>819</v>
      </c>
      <c r="C489" s="80"/>
      <c r="D489" s="90">
        <v>135</v>
      </c>
      <c r="E489" s="90">
        <v>3</v>
      </c>
      <c r="F489" s="90">
        <v>6</v>
      </c>
      <c r="G489" s="90">
        <v>10.4</v>
      </c>
      <c r="H489" s="28" t="s">
        <v>777</v>
      </c>
      <c r="J489" s="14" t="s">
        <v>42</v>
      </c>
    </row>
    <row r="490" spans="1:10">
      <c r="A490" s="1">
        <v>90000062</v>
      </c>
      <c r="B490" s="34" t="s">
        <v>820</v>
      </c>
      <c r="C490" s="34" t="s">
        <v>821</v>
      </c>
      <c r="D490" s="86">
        <v>185</v>
      </c>
      <c r="E490" s="86">
        <v>3</v>
      </c>
      <c r="F490" s="86">
        <v>6</v>
      </c>
      <c r="G490" s="86">
        <v>8</v>
      </c>
      <c r="J490" s="14" t="s">
        <v>42</v>
      </c>
    </row>
    <row r="491" spans="1:10">
      <c r="A491" s="1">
        <v>90000133</v>
      </c>
      <c r="B491" s="34" t="s">
        <v>822</v>
      </c>
      <c r="C491" s="34" t="s">
        <v>823</v>
      </c>
      <c r="D491" s="86">
        <v>178</v>
      </c>
      <c r="E491" s="86">
        <v>3</v>
      </c>
      <c r="F491" s="86">
        <v>7</v>
      </c>
      <c r="G491" s="86">
        <v>10.4</v>
      </c>
      <c r="J491" s="14" t="s">
        <v>42</v>
      </c>
    </row>
    <row r="492" spans="1:10">
      <c r="A492" s="1">
        <v>90000149</v>
      </c>
      <c r="B492" s="34" t="s">
        <v>824</v>
      </c>
      <c r="C492" s="90" t="s">
        <v>825</v>
      </c>
      <c r="D492" s="86">
        <v>180</v>
      </c>
      <c r="E492" s="86">
        <v>3</v>
      </c>
      <c r="F492" s="86">
        <v>7</v>
      </c>
      <c r="G492" s="86">
        <v>10.3</v>
      </c>
      <c r="H492" s="40" t="s">
        <v>15</v>
      </c>
      <c r="I492" s="28" t="s">
        <v>257</v>
      </c>
      <c r="J492" s="14" t="s">
        <v>42</v>
      </c>
    </row>
    <row r="493" spans="1:10">
      <c r="A493" s="1">
        <v>90000135</v>
      </c>
      <c r="B493" s="34" t="s">
        <v>826</v>
      </c>
      <c r="C493" s="34" t="s">
        <v>827</v>
      </c>
      <c r="D493" s="86">
        <v>176</v>
      </c>
      <c r="E493" s="86">
        <v>3</v>
      </c>
      <c r="F493" s="86">
        <v>7</v>
      </c>
      <c r="G493" s="86">
        <v>10.2</v>
      </c>
      <c r="H493" s="92" t="s">
        <v>15</v>
      </c>
      <c r="I493" s="28" t="s">
        <v>429</v>
      </c>
      <c r="J493" s="14" t="s">
        <v>42</v>
      </c>
    </row>
    <row r="494" spans="1:10">
      <c r="A494" s="1">
        <v>90000120</v>
      </c>
      <c r="B494" s="34" t="s">
        <v>828</v>
      </c>
      <c r="C494" s="34" t="s">
        <v>829</v>
      </c>
      <c r="D494" s="86">
        <v>156</v>
      </c>
      <c r="E494" s="86">
        <v>4</v>
      </c>
      <c r="F494" s="86">
        <v>7</v>
      </c>
      <c r="G494" s="86">
        <v>10.5</v>
      </c>
      <c r="J494" s="14" t="s">
        <v>42</v>
      </c>
    </row>
    <row r="495" spans="1:10">
      <c r="A495" s="1">
        <v>90000119</v>
      </c>
      <c r="B495" s="34" t="s">
        <v>830</v>
      </c>
      <c r="C495" s="34" t="s">
        <v>653</v>
      </c>
      <c r="D495" s="86">
        <v>144</v>
      </c>
      <c r="E495" s="86">
        <v>3</v>
      </c>
      <c r="F495" s="86">
        <v>8</v>
      </c>
      <c r="G495" s="86">
        <v>10</v>
      </c>
      <c r="J495" s="14" t="s">
        <v>42</v>
      </c>
    </row>
    <row r="496" spans="1:10">
      <c r="A496" s="1">
        <v>90000137</v>
      </c>
      <c r="B496" s="34" t="s">
        <v>831</v>
      </c>
      <c r="C496" s="34" t="s">
        <v>88</v>
      </c>
      <c r="D496" s="86">
        <v>188</v>
      </c>
      <c r="E496" s="86">
        <v>5</v>
      </c>
      <c r="F496" s="86">
        <v>7</v>
      </c>
      <c r="G496" s="86">
        <v>10.6</v>
      </c>
      <c r="J496" s="14" t="s">
        <v>42</v>
      </c>
    </row>
    <row r="497" spans="1:10">
      <c r="A497" s="1">
        <v>90000129</v>
      </c>
      <c r="B497" s="34" t="s">
        <v>832</v>
      </c>
      <c r="C497" s="34" t="s">
        <v>833</v>
      </c>
      <c r="D497" s="86" t="s">
        <v>834</v>
      </c>
      <c r="E497" s="86">
        <v>3</v>
      </c>
      <c r="F497" s="86">
        <v>5</v>
      </c>
      <c r="G497" s="86">
        <v>10</v>
      </c>
      <c r="H497" s="87" t="s">
        <v>15</v>
      </c>
      <c r="I497" s="87" t="s">
        <v>57</v>
      </c>
      <c r="J497" s="14" t="s">
        <v>42</v>
      </c>
    </row>
    <row r="498" spans="1:10">
      <c r="A498" s="1">
        <v>90000056</v>
      </c>
      <c r="B498" s="34" t="s">
        <v>835</v>
      </c>
      <c r="C498" s="34" t="s">
        <v>836</v>
      </c>
      <c r="D498" s="86">
        <v>150</v>
      </c>
      <c r="E498" s="86">
        <v>3</v>
      </c>
      <c r="F498" s="86">
        <v>7</v>
      </c>
      <c r="G498" s="86">
        <v>9.5</v>
      </c>
      <c r="H498" s="87" t="s">
        <v>15</v>
      </c>
      <c r="I498" s="87" t="s">
        <v>36</v>
      </c>
      <c r="J498" s="14" t="s">
        <v>42</v>
      </c>
    </row>
    <row r="499" spans="1:10">
      <c r="A499" s="1">
        <v>90000181</v>
      </c>
      <c r="B499" s="34" t="s">
        <v>837</v>
      </c>
      <c r="C499" s="34" t="s">
        <v>838</v>
      </c>
      <c r="D499" s="86">
        <v>160</v>
      </c>
      <c r="E499" s="86">
        <v>2</v>
      </c>
      <c r="F499" s="86">
        <v>7</v>
      </c>
      <c r="G499" s="86">
        <v>9</v>
      </c>
      <c r="J499" s="14" t="s">
        <v>42</v>
      </c>
    </row>
    <row r="500" spans="1:10">
      <c r="A500" s="1">
        <v>90000113</v>
      </c>
      <c r="B500" s="34" t="s">
        <v>839</v>
      </c>
      <c r="C500" s="90" t="s">
        <v>775</v>
      </c>
      <c r="D500" s="86">
        <v>190</v>
      </c>
      <c r="E500" s="86">
        <v>8</v>
      </c>
      <c r="F500" s="86">
        <v>9.5</v>
      </c>
      <c r="G500" s="86">
        <v>10.5</v>
      </c>
      <c r="J500" s="14" t="s">
        <v>42</v>
      </c>
    </row>
    <row r="501" spans="1:10">
      <c r="A501" s="1">
        <v>90000158</v>
      </c>
      <c r="B501" s="34" t="s">
        <v>840</v>
      </c>
      <c r="C501" s="34" t="s">
        <v>841</v>
      </c>
      <c r="D501" s="86">
        <v>184</v>
      </c>
      <c r="E501" s="86">
        <v>4</v>
      </c>
      <c r="F501" s="86">
        <v>7</v>
      </c>
      <c r="G501" s="86">
        <v>9.8</v>
      </c>
      <c r="H501" s="28" t="s">
        <v>15</v>
      </c>
      <c r="I501" s="28" t="s">
        <v>24</v>
      </c>
      <c r="J501" s="14" t="s">
        <v>42</v>
      </c>
    </row>
    <row r="502" spans="1:10">
      <c r="A502" s="1">
        <v>90000109</v>
      </c>
      <c r="B502" s="34" t="s">
        <v>842</v>
      </c>
      <c r="C502" s="34" t="s">
        <v>757</v>
      </c>
      <c r="D502" s="86">
        <v>188</v>
      </c>
      <c r="E502" s="86">
        <v>4</v>
      </c>
      <c r="F502" s="86">
        <v>7</v>
      </c>
      <c r="G502" s="86">
        <v>10.5</v>
      </c>
      <c r="J502" s="14" t="s">
        <v>42</v>
      </c>
    </row>
    <row r="503" spans="1:10">
      <c r="A503" s="1">
        <v>90000195</v>
      </c>
      <c r="B503" s="34" t="s">
        <v>843</v>
      </c>
      <c r="C503" s="90" t="s">
        <v>844</v>
      </c>
      <c r="D503" s="86">
        <v>196</v>
      </c>
      <c r="E503" s="86">
        <v>4</v>
      </c>
      <c r="F503" s="86">
        <v>8</v>
      </c>
      <c r="G503" s="86">
        <v>10.3</v>
      </c>
      <c r="H503" s="28" t="s">
        <v>15</v>
      </c>
      <c r="I503" s="28" t="s">
        <v>45</v>
      </c>
      <c r="J503" s="14" t="s">
        <v>42</v>
      </c>
    </row>
    <row r="504" spans="1:10">
      <c r="A504" s="1">
        <v>90000146</v>
      </c>
      <c r="B504" s="34" t="s">
        <v>845</v>
      </c>
      <c r="C504" s="34" t="s">
        <v>846</v>
      </c>
      <c r="D504" s="86">
        <v>183</v>
      </c>
      <c r="E504" s="86">
        <v>3</v>
      </c>
      <c r="F504" s="86">
        <v>8</v>
      </c>
      <c r="G504" s="86">
        <v>9.8</v>
      </c>
      <c r="J504" s="14" t="s">
        <v>42</v>
      </c>
    </row>
    <row r="505" spans="1:10">
      <c r="B505" s="94" t="s">
        <v>847</v>
      </c>
      <c r="C505" s="80"/>
      <c r="D505" s="90">
        <v>164</v>
      </c>
      <c r="E505" s="90">
        <v>5</v>
      </c>
      <c r="F505" s="90">
        <v>8</v>
      </c>
      <c r="G505" s="90">
        <v>10.5</v>
      </c>
      <c r="H505" s="28" t="s">
        <v>777</v>
      </c>
      <c r="J505" s="14" t="s">
        <v>42</v>
      </c>
    </row>
    <row r="506" spans="1:10">
      <c r="A506" s="1">
        <v>90000156</v>
      </c>
      <c r="B506" s="34" t="s">
        <v>848</v>
      </c>
      <c r="C506" s="34" t="s">
        <v>849</v>
      </c>
      <c r="D506" s="86">
        <v>155</v>
      </c>
      <c r="E506" s="86">
        <v>3</v>
      </c>
      <c r="F506" s="86">
        <v>6</v>
      </c>
      <c r="G506" s="86">
        <v>9.8</v>
      </c>
      <c r="H506" s="87" t="s">
        <v>15</v>
      </c>
      <c r="I506" s="87" t="s">
        <v>36</v>
      </c>
      <c r="J506" s="14" t="s">
        <v>42</v>
      </c>
    </row>
    <row r="507" spans="1:10">
      <c r="B507" s="94" t="s">
        <v>850</v>
      </c>
      <c r="C507" s="80"/>
      <c r="D507" s="90">
        <v>185</v>
      </c>
      <c r="E507" s="90">
        <v>5</v>
      </c>
      <c r="F507" s="90">
        <v>8</v>
      </c>
      <c r="G507" s="90">
        <v>10.4</v>
      </c>
      <c r="H507" s="28" t="s">
        <v>777</v>
      </c>
      <c r="J507" s="14" t="s">
        <v>42</v>
      </c>
    </row>
    <row r="508" spans="1:10">
      <c r="A508" s="1">
        <v>90000118</v>
      </c>
      <c r="B508" s="34" t="s">
        <v>851</v>
      </c>
      <c r="C508" s="34" t="s">
        <v>773</v>
      </c>
      <c r="D508" s="86">
        <v>130</v>
      </c>
      <c r="E508" s="86">
        <v>3</v>
      </c>
      <c r="F508" s="86">
        <v>7</v>
      </c>
      <c r="G508" s="86">
        <v>9.7</v>
      </c>
      <c r="J508" s="14" t="s">
        <v>42</v>
      </c>
    </row>
    <row r="509" spans="1:10">
      <c r="A509" s="1">
        <v>90000114</v>
      </c>
      <c r="B509" s="34" t="s">
        <v>852</v>
      </c>
      <c r="C509" s="34" t="s">
        <v>853</v>
      </c>
      <c r="D509" s="86">
        <v>225</v>
      </c>
      <c r="E509" s="86">
        <v>4</v>
      </c>
      <c r="F509" s="86">
        <v>7</v>
      </c>
      <c r="G509" s="86">
        <v>10.3</v>
      </c>
      <c r="J509" s="14" t="s">
        <v>42</v>
      </c>
    </row>
    <row r="510" spans="1:10">
      <c r="A510" s="1">
        <v>90000061</v>
      </c>
      <c r="B510" s="34" t="s">
        <v>854</v>
      </c>
      <c r="C510" s="34" t="s">
        <v>447</v>
      </c>
      <c r="D510" s="86">
        <v>165</v>
      </c>
      <c r="E510" s="86">
        <v>5</v>
      </c>
      <c r="F510" s="86">
        <v>7</v>
      </c>
      <c r="G510" s="86">
        <v>9.8</v>
      </c>
      <c r="H510" s="28" t="s">
        <v>15</v>
      </c>
      <c r="I510" s="28" t="s">
        <v>24</v>
      </c>
      <c r="J510" s="14" t="s">
        <v>42</v>
      </c>
    </row>
    <row r="511" spans="1:10">
      <c r="A511" s="1">
        <v>90000013</v>
      </c>
      <c r="B511" s="34" t="s">
        <v>855</v>
      </c>
      <c r="C511" s="34" t="s">
        <v>674</v>
      </c>
      <c r="D511" s="86">
        <v>172</v>
      </c>
      <c r="E511" s="86">
        <v>5</v>
      </c>
      <c r="F511" s="86">
        <v>9.6</v>
      </c>
      <c r="G511" s="86">
        <v>10.6</v>
      </c>
      <c r="H511" s="28" t="s">
        <v>15</v>
      </c>
      <c r="I511" s="28" t="s">
        <v>24</v>
      </c>
      <c r="J511" s="14" t="s">
        <v>42</v>
      </c>
    </row>
    <row r="512" spans="1:10">
      <c r="A512" s="1">
        <v>90000136</v>
      </c>
      <c r="B512" s="34" t="s">
        <v>856</v>
      </c>
      <c r="C512" s="34" t="s">
        <v>117</v>
      </c>
      <c r="D512" s="86">
        <v>178</v>
      </c>
      <c r="E512" s="86">
        <v>4</v>
      </c>
      <c r="F512" s="86">
        <v>7</v>
      </c>
      <c r="G512" s="86">
        <v>9.6</v>
      </c>
      <c r="J512" s="14" t="s">
        <v>42</v>
      </c>
    </row>
    <row r="513" spans="1:10">
      <c r="A513" s="1">
        <v>90000066</v>
      </c>
      <c r="B513" s="34" t="s">
        <v>857</v>
      </c>
      <c r="C513" s="34" t="s">
        <v>35</v>
      </c>
      <c r="D513" s="86">
        <v>173</v>
      </c>
      <c r="E513" s="86">
        <v>4</v>
      </c>
      <c r="F513" s="86">
        <v>7</v>
      </c>
      <c r="G513" s="86">
        <v>10</v>
      </c>
      <c r="J513" s="14" t="s">
        <v>42</v>
      </c>
    </row>
    <row r="514" spans="1:10">
      <c r="A514" s="1">
        <v>90000229</v>
      </c>
      <c r="B514" s="34" t="s">
        <v>858</v>
      </c>
      <c r="C514" s="34" t="s">
        <v>859</v>
      </c>
      <c r="D514" s="86">
        <v>208</v>
      </c>
      <c r="E514" s="86">
        <v>7</v>
      </c>
      <c r="F514" s="86">
        <v>10.2</v>
      </c>
      <c r="G514" s="86">
        <v>10.9</v>
      </c>
      <c r="H514" s="93" t="s">
        <v>15</v>
      </c>
      <c r="I514" s="87" t="s">
        <v>510</v>
      </c>
      <c r="J514" s="14" t="s">
        <v>42</v>
      </c>
    </row>
    <row r="515" spans="1:10">
      <c r="A515" s="1">
        <v>90000173</v>
      </c>
      <c r="B515" s="34" t="s">
        <v>860</v>
      </c>
      <c r="C515" s="34" t="s">
        <v>829</v>
      </c>
      <c r="D515" s="86">
        <v>150</v>
      </c>
      <c r="E515" s="86">
        <v>3</v>
      </c>
      <c r="F515" s="86">
        <v>9.5</v>
      </c>
      <c r="G515" s="86">
        <v>10.4</v>
      </c>
      <c r="H515" s="40" t="s">
        <v>15</v>
      </c>
      <c r="I515" s="28" t="s">
        <v>257</v>
      </c>
      <c r="J515" s="14" t="s">
        <v>42</v>
      </c>
    </row>
    <row r="516" spans="1:10">
      <c r="A516" s="1">
        <v>90000159</v>
      </c>
      <c r="B516" s="34" t="s">
        <v>861</v>
      </c>
      <c r="C516" s="34" t="s">
        <v>862</v>
      </c>
      <c r="D516" s="86">
        <v>190</v>
      </c>
      <c r="E516" s="86">
        <v>3</v>
      </c>
      <c r="F516" s="86">
        <v>5</v>
      </c>
      <c r="G516" s="86">
        <v>9.1</v>
      </c>
      <c r="H516" s="40" t="s">
        <v>15</v>
      </c>
      <c r="I516" s="28" t="s">
        <v>257</v>
      </c>
      <c r="J516" s="14" t="s">
        <v>42</v>
      </c>
    </row>
    <row r="517" spans="1:10">
      <c r="A517" s="1">
        <v>90000110</v>
      </c>
      <c r="B517" s="34" t="s">
        <v>863</v>
      </c>
      <c r="C517" s="90" t="s">
        <v>864</v>
      </c>
      <c r="D517" s="86">
        <v>170</v>
      </c>
      <c r="E517" s="86">
        <v>4</v>
      </c>
      <c r="F517" s="86">
        <v>7</v>
      </c>
      <c r="G517" s="86">
        <v>9.6</v>
      </c>
      <c r="J517" s="14" t="s">
        <v>42</v>
      </c>
    </row>
    <row r="518" spans="1:10">
      <c r="A518" s="1">
        <v>90000130</v>
      </c>
      <c r="B518" s="34" t="s">
        <v>865</v>
      </c>
      <c r="C518" s="34" t="s">
        <v>866</v>
      </c>
      <c r="D518" s="86">
        <v>150</v>
      </c>
      <c r="E518" s="86">
        <v>4</v>
      </c>
      <c r="F518" s="86">
        <v>7</v>
      </c>
      <c r="G518" s="86">
        <v>10.4</v>
      </c>
      <c r="J518" s="14" t="s">
        <v>42</v>
      </c>
    </row>
    <row r="519" spans="1:10">
      <c r="B519" s="94" t="s">
        <v>867</v>
      </c>
      <c r="C519" s="80"/>
      <c r="D519" s="90">
        <v>111</v>
      </c>
      <c r="E519" s="90">
        <v>3</v>
      </c>
      <c r="F519" s="90">
        <v>8</v>
      </c>
      <c r="G519" s="90">
        <v>10.4</v>
      </c>
      <c r="H519" s="28" t="s">
        <v>777</v>
      </c>
      <c r="J519" s="14" t="s">
        <v>42</v>
      </c>
    </row>
    <row r="520" spans="1:10">
      <c r="A520" s="1">
        <v>90000191</v>
      </c>
      <c r="B520" s="34" t="s">
        <v>868</v>
      </c>
      <c r="C520" s="90" t="s">
        <v>869</v>
      </c>
      <c r="D520" s="86">
        <v>188</v>
      </c>
      <c r="E520" s="86">
        <v>4</v>
      </c>
      <c r="F520" s="86">
        <v>8</v>
      </c>
      <c r="G520" s="86">
        <v>10.3</v>
      </c>
      <c r="J520" s="14" t="s">
        <v>42</v>
      </c>
    </row>
    <row r="521" spans="1:10">
      <c r="A521" s="1">
        <v>90000058</v>
      </c>
      <c r="B521" s="34" t="s">
        <v>870</v>
      </c>
      <c r="C521" s="34" t="s">
        <v>465</v>
      </c>
      <c r="D521" s="86">
        <v>214</v>
      </c>
      <c r="E521" s="86">
        <v>5</v>
      </c>
      <c r="F521" s="86">
        <v>7</v>
      </c>
      <c r="G521" s="86">
        <v>10.4</v>
      </c>
      <c r="H521" s="92" t="s">
        <v>15</v>
      </c>
      <c r="I521" s="28" t="s">
        <v>429</v>
      </c>
      <c r="J521" s="14" t="s">
        <v>42</v>
      </c>
    </row>
    <row r="522" spans="1:10">
      <c r="A522" s="1">
        <v>90000122</v>
      </c>
      <c r="B522" s="34" t="s">
        <v>871</v>
      </c>
      <c r="C522" s="90" t="s">
        <v>872</v>
      </c>
      <c r="D522" s="86">
        <v>114</v>
      </c>
      <c r="E522" s="86">
        <v>1</v>
      </c>
      <c r="F522" s="86">
        <v>5</v>
      </c>
      <c r="G522" s="86">
        <v>8</v>
      </c>
      <c r="H522" s="28" t="s">
        <v>15</v>
      </c>
      <c r="I522" s="28" t="s">
        <v>433</v>
      </c>
      <c r="J522" s="14" t="s">
        <v>42</v>
      </c>
    </row>
    <row r="523" spans="1:10">
      <c r="A523" s="1">
        <v>90000022</v>
      </c>
      <c r="B523" s="34" t="s">
        <v>873</v>
      </c>
      <c r="C523" s="34" t="s">
        <v>874</v>
      </c>
      <c r="D523" s="86">
        <v>206</v>
      </c>
      <c r="E523" s="86">
        <v>3</v>
      </c>
      <c r="F523" s="86">
        <v>7</v>
      </c>
      <c r="G523" s="86">
        <v>9.8</v>
      </c>
      <c r="H523" s="28" t="s">
        <v>15</v>
      </c>
      <c r="I523" s="28" t="s">
        <v>24</v>
      </c>
      <c r="J523" s="14" t="s">
        <v>42</v>
      </c>
    </row>
    <row r="524" spans="1:10">
      <c r="A524" s="1">
        <v>90000251</v>
      </c>
      <c r="B524" s="34" t="s">
        <v>875</v>
      </c>
      <c r="C524" s="90" t="s">
        <v>876</v>
      </c>
      <c r="D524" s="86">
        <v>130</v>
      </c>
      <c r="E524" s="86">
        <v>3</v>
      </c>
      <c r="F524" s="86">
        <v>7</v>
      </c>
      <c r="G524" s="86">
        <v>9.8</v>
      </c>
      <c r="J524" s="14" t="s">
        <v>42</v>
      </c>
    </row>
    <row r="525" spans="1:10">
      <c r="A525" s="1">
        <v>90000254</v>
      </c>
      <c r="B525" s="34" t="s">
        <v>877</v>
      </c>
      <c r="C525" s="34" t="s">
        <v>878</v>
      </c>
      <c r="D525" s="86" t="s">
        <v>879</v>
      </c>
      <c r="E525" s="86">
        <v>5</v>
      </c>
      <c r="F525" s="86">
        <v>8</v>
      </c>
      <c r="G525" s="86">
        <v>10.7</v>
      </c>
      <c r="H525" s="93" t="s">
        <v>15</v>
      </c>
      <c r="I525" s="28" t="s">
        <v>510</v>
      </c>
      <c r="J525" s="14" t="s">
        <v>42</v>
      </c>
    </row>
    <row r="526" spans="1:10">
      <c r="A526" s="1">
        <v>90000152</v>
      </c>
      <c r="B526" s="34" t="s">
        <v>880</v>
      </c>
      <c r="C526" s="90" t="s">
        <v>881</v>
      </c>
      <c r="D526" s="86">
        <v>160</v>
      </c>
      <c r="E526" s="86">
        <v>3</v>
      </c>
      <c r="F526" s="86">
        <v>7</v>
      </c>
      <c r="G526" s="86">
        <v>10.4</v>
      </c>
      <c r="J526" s="14" t="s">
        <v>42</v>
      </c>
    </row>
    <row r="527" spans="1:10">
      <c r="A527" s="1">
        <v>90000145</v>
      </c>
      <c r="B527" s="34" t="s">
        <v>882</v>
      </c>
      <c r="C527" s="34" t="s">
        <v>194</v>
      </c>
      <c r="D527" s="86">
        <v>196</v>
      </c>
      <c r="E527" s="86">
        <v>4</v>
      </c>
      <c r="F527" s="86">
        <v>7</v>
      </c>
      <c r="G527" s="86">
        <v>10.1</v>
      </c>
      <c r="H527" s="28" t="s">
        <v>15</v>
      </c>
      <c r="I527" s="28" t="s">
        <v>45</v>
      </c>
      <c r="J527" s="14" t="s">
        <v>42</v>
      </c>
    </row>
    <row r="528" spans="1:10">
      <c r="A528" s="1">
        <v>90000108</v>
      </c>
      <c r="B528" s="34" t="s">
        <v>883</v>
      </c>
      <c r="C528" s="34" t="s">
        <v>884</v>
      </c>
      <c r="D528" s="86">
        <v>156</v>
      </c>
      <c r="E528" s="86">
        <v>4</v>
      </c>
      <c r="F528" s="86">
        <v>7</v>
      </c>
      <c r="G528" s="86">
        <v>10</v>
      </c>
      <c r="H528" s="40" t="s">
        <v>15</v>
      </c>
      <c r="I528" s="28" t="s">
        <v>257</v>
      </c>
      <c r="J528" s="14" t="s">
        <v>42</v>
      </c>
    </row>
    <row r="529" spans="1:10">
      <c r="A529" s="1">
        <v>90000107</v>
      </c>
      <c r="B529" s="34" t="s">
        <v>885</v>
      </c>
      <c r="C529" s="34" t="s">
        <v>886</v>
      </c>
      <c r="D529" s="86">
        <v>177</v>
      </c>
      <c r="E529" s="86">
        <v>2</v>
      </c>
      <c r="F529" s="86">
        <v>5</v>
      </c>
      <c r="G529" s="86">
        <v>9.2</v>
      </c>
      <c r="H529" s="67" t="s">
        <v>15</v>
      </c>
      <c r="I529" s="28" t="s">
        <v>584</v>
      </c>
      <c r="J529" s="14" t="s">
        <v>42</v>
      </c>
    </row>
    <row r="530" spans="1:10">
      <c r="A530" s="1">
        <v>90000123</v>
      </c>
      <c r="B530" s="34" t="s">
        <v>887</v>
      </c>
      <c r="C530" s="34" t="s">
        <v>629</v>
      </c>
      <c r="D530" s="86">
        <v>217</v>
      </c>
      <c r="E530" s="86">
        <v>4</v>
      </c>
      <c r="F530" s="86">
        <v>7</v>
      </c>
      <c r="G530" s="86">
        <v>10.6</v>
      </c>
      <c r="J530" s="14" t="s">
        <v>42</v>
      </c>
    </row>
    <row r="531" spans="1:10">
      <c r="A531" s="1">
        <v>90000187</v>
      </c>
      <c r="B531" s="34" t="s">
        <v>888</v>
      </c>
      <c r="C531" s="90" t="s">
        <v>889</v>
      </c>
      <c r="D531" s="86">
        <v>200</v>
      </c>
      <c r="E531" s="86">
        <v>3</v>
      </c>
      <c r="F531" s="86">
        <v>7</v>
      </c>
      <c r="G531" s="86">
        <v>10.2</v>
      </c>
      <c r="J531" s="14" t="s">
        <v>42</v>
      </c>
    </row>
    <row r="532" spans="1:10">
      <c r="A532" s="1">
        <v>90000147</v>
      </c>
      <c r="B532" s="34" t="s">
        <v>890</v>
      </c>
      <c r="C532" s="90" t="s">
        <v>891</v>
      </c>
      <c r="D532" s="86">
        <v>152</v>
      </c>
      <c r="E532" s="86">
        <v>4</v>
      </c>
      <c r="F532" s="86">
        <v>8</v>
      </c>
      <c r="G532" s="86">
        <v>10.2</v>
      </c>
      <c r="J532" s="14" t="s">
        <v>42</v>
      </c>
    </row>
    <row r="533" spans="1:10">
      <c r="A533" s="1">
        <v>90000151</v>
      </c>
      <c r="B533" s="34" t="s">
        <v>892</v>
      </c>
      <c r="C533" s="34" t="s">
        <v>465</v>
      </c>
      <c r="D533" s="86">
        <v>195</v>
      </c>
      <c r="E533" s="86">
        <v>3</v>
      </c>
      <c r="F533" s="86">
        <v>6</v>
      </c>
      <c r="G533" s="86">
        <v>10.2</v>
      </c>
      <c r="J533" s="14" t="s">
        <v>42</v>
      </c>
    </row>
    <row r="534" spans="1:10">
      <c r="A534" s="1">
        <v>90000125</v>
      </c>
      <c r="B534" s="34" t="s">
        <v>893</v>
      </c>
      <c r="C534" s="90" t="s">
        <v>894</v>
      </c>
      <c r="D534" s="86">
        <v>200</v>
      </c>
      <c r="E534" s="86">
        <v>4</v>
      </c>
      <c r="F534" s="86">
        <v>7</v>
      </c>
      <c r="G534" s="86">
        <v>10.4</v>
      </c>
      <c r="J534" s="14" t="s">
        <v>42</v>
      </c>
    </row>
    <row r="535" spans="1:10">
      <c r="A535" s="1">
        <v>90000242</v>
      </c>
      <c r="B535" s="34" t="s">
        <v>895</v>
      </c>
      <c r="C535" s="34" t="s">
        <v>447</v>
      </c>
      <c r="D535" s="86">
        <v>145</v>
      </c>
      <c r="E535" s="86">
        <v>4</v>
      </c>
      <c r="F535" s="86">
        <v>7</v>
      </c>
      <c r="G535" s="86">
        <v>9.5</v>
      </c>
      <c r="H535" s="28" t="s">
        <v>15</v>
      </c>
      <c r="I535" s="28" t="s">
        <v>289</v>
      </c>
      <c r="J535" s="14" t="s">
        <v>42</v>
      </c>
    </row>
    <row r="536" spans="1:10">
      <c r="A536" s="1">
        <v>90000023</v>
      </c>
      <c r="B536" s="34" t="s">
        <v>896</v>
      </c>
      <c r="C536" s="34" t="s">
        <v>150</v>
      </c>
      <c r="D536" s="86">
        <v>200</v>
      </c>
      <c r="E536" s="86">
        <v>5</v>
      </c>
      <c r="F536" s="86">
        <v>9.5</v>
      </c>
      <c r="G536" s="86">
        <v>10.6</v>
      </c>
      <c r="H536" s="28" t="s">
        <v>15</v>
      </c>
      <c r="I536" s="28" t="s">
        <v>490</v>
      </c>
      <c r="J536" s="14" t="s">
        <v>42</v>
      </c>
    </row>
    <row r="537" spans="1:10">
      <c r="A537" s="1">
        <v>90000189</v>
      </c>
      <c r="B537" s="34" t="s">
        <v>897</v>
      </c>
      <c r="C537" s="90" t="s">
        <v>898</v>
      </c>
      <c r="D537" s="86" t="s">
        <v>899</v>
      </c>
      <c r="E537" s="86">
        <v>4</v>
      </c>
      <c r="F537" s="86">
        <v>6</v>
      </c>
      <c r="G537" s="86">
        <v>9.3</v>
      </c>
      <c r="H537" s="28" t="s">
        <v>15</v>
      </c>
      <c r="I537" s="28" t="s">
        <v>633</v>
      </c>
      <c r="J537" s="14" t="s">
        <v>42</v>
      </c>
    </row>
    <row r="538" spans="1:10">
      <c r="A538" s="1">
        <v>90000193</v>
      </c>
      <c r="B538" s="34" t="s">
        <v>900</v>
      </c>
      <c r="C538" s="34" t="s">
        <v>901</v>
      </c>
      <c r="D538" s="86">
        <v>185</v>
      </c>
      <c r="E538" s="86">
        <v>2</v>
      </c>
      <c r="F538" s="86">
        <v>6</v>
      </c>
      <c r="G538" s="86">
        <v>9</v>
      </c>
      <c r="J538" s="14" t="s">
        <v>42</v>
      </c>
    </row>
    <row r="539" spans="1:10">
      <c r="B539" s="94" t="s">
        <v>902</v>
      </c>
      <c r="C539" s="80"/>
      <c r="D539" s="90">
        <v>200</v>
      </c>
      <c r="E539" s="90">
        <v>4</v>
      </c>
      <c r="F539" s="90">
        <v>8</v>
      </c>
      <c r="G539" s="90">
        <v>10.4</v>
      </c>
      <c r="H539" s="28" t="s">
        <v>777</v>
      </c>
      <c r="J539" s="14" t="s">
        <v>42</v>
      </c>
    </row>
    <row r="540" spans="1:10">
      <c r="A540" s="1">
        <v>90000117</v>
      </c>
      <c r="B540" s="34" t="s">
        <v>903</v>
      </c>
      <c r="C540" s="34" t="s">
        <v>904</v>
      </c>
      <c r="D540" s="86">
        <v>175</v>
      </c>
      <c r="E540" s="86">
        <v>4</v>
      </c>
      <c r="F540" s="86">
        <v>7</v>
      </c>
      <c r="G540" s="86">
        <v>9.3</v>
      </c>
      <c r="J540" s="14" t="s">
        <v>42</v>
      </c>
    </row>
    <row r="541" spans="1:10">
      <c r="A541" s="1">
        <v>90000244</v>
      </c>
      <c r="B541" s="34" t="s">
        <v>905</v>
      </c>
      <c r="C541" s="34" t="s">
        <v>906</v>
      </c>
      <c r="D541" s="86">
        <v>159</v>
      </c>
      <c r="E541" s="86">
        <v>5</v>
      </c>
      <c r="F541" s="86">
        <v>8</v>
      </c>
      <c r="G541" s="86">
        <v>10.4</v>
      </c>
      <c r="H541" s="67" t="s">
        <v>15</v>
      </c>
      <c r="I541" s="28" t="s">
        <v>584</v>
      </c>
      <c r="J541" s="14" t="s">
        <v>42</v>
      </c>
    </row>
    <row r="542" spans="1:10">
      <c r="A542" s="1">
        <v>90000063</v>
      </c>
      <c r="B542" s="34" t="s">
        <v>907</v>
      </c>
      <c r="C542" s="34" t="s">
        <v>622</v>
      </c>
      <c r="D542" s="86">
        <v>102</v>
      </c>
      <c r="E542" s="86">
        <v>2</v>
      </c>
      <c r="F542" s="86">
        <v>7</v>
      </c>
      <c r="G542" s="86">
        <v>8</v>
      </c>
      <c r="H542" s="28" t="s">
        <v>15</v>
      </c>
      <c r="I542" s="28" t="s">
        <v>148</v>
      </c>
      <c r="J542" s="14" t="s">
        <v>42</v>
      </c>
    </row>
    <row r="543" spans="1:10">
      <c r="A543" s="1">
        <v>90000154</v>
      </c>
      <c r="B543" s="34" t="s">
        <v>908</v>
      </c>
      <c r="C543" s="90" t="s">
        <v>909</v>
      </c>
      <c r="D543" s="86">
        <v>142</v>
      </c>
      <c r="E543" s="86">
        <v>3</v>
      </c>
      <c r="F543" s="86">
        <v>6</v>
      </c>
      <c r="G543" s="86">
        <v>9.5</v>
      </c>
      <c r="H543" s="28" t="s">
        <v>15</v>
      </c>
      <c r="I543" s="28" t="s">
        <v>24</v>
      </c>
      <c r="J543" s="14" t="s">
        <v>42</v>
      </c>
    </row>
    <row r="544" spans="1:10">
      <c r="A544" s="1">
        <v>90000163</v>
      </c>
      <c r="B544" s="34" t="s">
        <v>910</v>
      </c>
      <c r="C544" s="90" t="s">
        <v>911</v>
      </c>
      <c r="D544" s="86">
        <v>160</v>
      </c>
      <c r="E544" s="86">
        <v>3</v>
      </c>
      <c r="F544" s="86">
        <v>8</v>
      </c>
      <c r="G544" s="86">
        <v>10.2</v>
      </c>
      <c r="H544" s="40" t="s">
        <v>15</v>
      </c>
      <c r="I544" s="28" t="s">
        <v>257</v>
      </c>
      <c r="J544" s="14" t="s">
        <v>42</v>
      </c>
    </row>
    <row r="545" spans="1:10">
      <c r="A545" s="1">
        <v>90000007</v>
      </c>
      <c r="B545" s="34" t="s">
        <v>912</v>
      </c>
      <c r="C545" s="90" t="s">
        <v>913</v>
      </c>
      <c r="D545" s="86">
        <v>190</v>
      </c>
      <c r="E545" s="86">
        <v>4</v>
      </c>
      <c r="F545" s="86">
        <v>9.1</v>
      </c>
      <c r="G545" s="86">
        <v>10.4</v>
      </c>
      <c r="H545" s="28" t="s">
        <v>15</v>
      </c>
      <c r="I545" s="28" t="s">
        <v>24</v>
      </c>
      <c r="J545" s="14" t="s">
        <v>42</v>
      </c>
    </row>
    <row r="546" spans="1:10">
      <c r="A546" s="1">
        <v>90000162</v>
      </c>
      <c r="B546" s="34" t="s">
        <v>914</v>
      </c>
      <c r="C546" s="90" t="s">
        <v>915</v>
      </c>
      <c r="D546" s="86" t="s">
        <v>916</v>
      </c>
      <c r="E546" s="86">
        <v>3</v>
      </c>
      <c r="F546" s="86">
        <v>7</v>
      </c>
      <c r="G546" s="86">
        <v>10.2</v>
      </c>
      <c r="H546" s="28" t="s">
        <v>15</v>
      </c>
      <c r="I546" s="28" t="s">
        <v>24</v>
      </c>
      <c r="J546" s="14" t="s">
        <v>42</v>
      </c>
    </row>
    <row r="547" spans="1:10">
      <c r="A547" s="1">
        <v>90000018</v>
      </c>
      <c r="B547" s="34" t="s">
        <v>917</v>
      </c>
      <c r="C547" s="34" t="s">
        <v>651</v>
      </c>
      <c r="D547" s="86">
        <v>150</v>
      </c>
      <c r="E547" s="86">
        <v>3</v>
      </c>
      <c r="F547" s="86">
        <v>8</v>
      </c>
      <c r="G547" s="86">
        <v>10.3</v>
      </c>
      <c r="J547" s="14" t="s">
        <v>42</v>
      </c>
    </row>
    <row r="548" spans="1:10">
      <c r="A548" s="1">
        <v>90000174</v>
      </c>
      <c r="B548" s="34" t="s">
        <v>918</v>
      </c>
      <c r="C548" s="34" t="s">
        <v>629</v>
      </c>
      <c r="D548" s="86">
        <v>201</v>
      </c>
      <c r="E548" s="86">
        <v>7</v>
      </c>
      <c r="F548" s="86">
        <v>9.2</v>
      </c>
      <c r="G548" s="86">
        <v>10.6</v>
      </c>
      <c r="H548" s="67" t="s">
        <v>15</v>
      </c>
      <c r="I548" s="28" t="s">
        <v>584</v>
      </c>
      <c r="J548" s="14" t="s">
        <v>42</v>
      </c>
    </row>
    <row r="549" spans="1:10">
      <c r="A549" s="1">
        <v>90000155</v>
      </c>
      <c r="B549" s="34" t="s">
        <v>919</v>
      </c>
      <c r="C549" s="90" t="s">
        <v>920</v>
      </c>
      <c r="D549" s="86">
        <v>160</v>
      </c>
      <c r="E549" s="86">
        <v>3</v>
      </c>
      <c r="F549" s="86">
        <v>7</v>
      </c>
      <c r="G549" s="86">
        <v>9.7</v>
      </c>
      <c r="H549" s="28" t="s">
        <v>15</v>
      </c>
      <c r="I549" s="28" t="s">
        <v>24</v>
      </c>
      <c r="J549" s="14" t="s">
        <v>42</v>
      </c>
    </row>
    <row r="550" spans="1:10">
      <c r="A550" s="1">
        <v>90000019</v>
      </c>
      <c r="B550" s="34" t="s">
        <v>921</v>
      </c>
      <c r="C550" s="90" t="s">
        <v>714</v>
      </c>
      <c r="D550" s="86">
        <v>173</v>
      </c>
      <c r="E550" s="86">
        <v>3</v>
      </c>
      <c r="F550" s="86">
        <v>6</v>
      </c>
      <c r="G550" s="86">
        <v>9.7</v>
      </c>
      <c r="H550" s="28" t="s">
        <v>15</v>
      </c>
      <c r="I550" s="28" t="s">
        <v>494</v>
      </c>
      <c r="J550" s="14" t="s">
        <v>42</v>
      </c>
    </row>
    <row r="551" spans="1:10">
      <c r="A551" s="1">
        <v>90000011</v>
      </c>
      <c r="B551" s="34" t="s">
        <v>922</v>
      </c>
      <c r="C551" s="90" t="s">
        <v>923</v>
      </c>
      <c r="D551" s="86">
        <v>160</v>
      </c>
      <c r="E551" s="86">
        <v>5</v>
      </c>
      <c r="F551" s="86">
        <v>9.7</v>
      </c>
      <c r="G551" s="86">
        <v>10.5</v>
      </c>
      <c r="H551" s="87" t="s">
        <v>15</v>
      </c>
      <c r="I551" s="87" t="s">
        <v>16</v>
      </c>
      <c r="J551" s="14" t="s">
        <v>42</v>
      </c>
    </row>
    <row r="552" spans="1:10">
      <c r="A552" s="1">
        <v>90000021</v>
      </c>
      <c r="B552" s="34" t="s">
        <v>924</v>
      </c>
      <c r="C552" s="34" t="s">
        <v>904</v>
      </c>
      <c r="D552" s="86">
        <v>182</v>
      </c>
      <c r="E552" s="86">
        <v>3</v>
      </c>
      <c r="F552" s="86">
        <v>6</v>
      </c>
      <c r="G552" s="86">
        <v>9</v>
      </c>
      <c r="H552" s="28" t="s">
        <v>15</v>
      </c>
      <c r="I552" s="28" t="s">
        <v>24</v>
      </c>
      <c r="J552" s="14" t="s">
        <v>42</v>
      </c>
    </row>
    <row r="553" spans="1:10">
      <c r="A553" s="1">
        <v>90000250</v>
      </c>
      <c r="B553" s="34" t="s">
        <v>925</v>
      </c>
      <c r="C553" s="90" t="s">
        <v>926</v>
      </c>
      <c r="D553" s="86">
        <v>200</v>
      </c>
      <c r="E553" s="86">
        <v>4</v>
      </c>
      <c r="F553" s="86">
        <v>7</v>
      </c>
      <c r="G553" s="86">
        <v>9.2</v>
      </c>
      <c r="J553" s="14" t="s">
        <v>42</v>
      </c>
    </row>
    <row r="554" spans="1:10">
      <c r="A554" s="1">
        <v>90000148</v>
      </c>
      <c r="B554" s="34" t="s">
        <v>927</v>
      </c>
      <c r="C554" s="34" t="s">
        <v>928</v>
      </c>
      <c r="D554" s="86">
        <v>106</v>
      </c>
      <c r="E554" s="86">
        <v>4</v>
      </c>
      <c r="F554" s="86">
        <v>7</v>
      </c>
      <c r="G554" s="86">
        <v>9.7</v>
      </c>
      <c r="H554" s="28" t="s">
        <v>15</v>
      </c>
      <c r="I554" s="28" t="s">
        <v>24</v>
      </c>
      <c r="J554" s="14" t="s">
        <v>42</v>
      </c>
    </row>
    <row r="555" spans="1:10">
      <c r="A555" s="1">
        <v>90000166</v>
      </c>
      <c r="B555" s="34" t="s">
        <v>929</v>
      </c>
      <c r="C555" s="34" t="s">
        <v>930</v>
      </c>
      <c r="D555" s="86">
        <v>153</v>
      </c>
      <c r="E555" s="86">
        <v>6</v>
      </c>
      <c r="F555" s="86">
        <v>9.6</v>
      </c>
      <c r="G555" s="86">
        <v>10.7</v>
      </c>
      <c r="H555" s="28" t="s">
        <v>15</v>
      </c>
      <c r="I555" s="28" t="s">
        <v>410</v>
      </c>
      <c r="J555" s="14" t="s">
        <v>42</v>
      </c>
    </row>
    <row r="556" spans="1:10">
      <c r="A556" s="1">
        <v>90000111</v>
      </c>
      <c r="B556" s="34" t="s">
        <v>931</v>
      </c>
      <c r="C556" s="34" t="s">
        <v>278</v>
      </c>
      <c r="D556" s="86">
        <v>220</v>
      </c>
      <c r="E556" s="86">
        <v>5</v>
      </c>
      <c r="F556" s="86">
        <v>7</v>
      </c>
      <c r="G556" s="86">
        <v>10.3</v>
      </c>
      <c r="H556" s="28" t="s">
        <v>15</v>
      </c>
      <c r="I556" s="28" t="s">
        <v>24</v>
      </c>
      <c r="J556" s="14" t="s">
        <v>42</v>
      </c>
    </row>
    <row r="557" spans="1:10">
      <c r="A557" s="83" t="s">
        <v>46</v>
      </c>
      <c r="B557" s="83"/>
      <c r="C557" s="83"/>
      <c r="D557" s="83"/>
      <c r="E557" s="83"/>
      <c r="F557" s="83"/>
      <c r="G557" s="83"/>
      <c r="H557" s="83"/>
      <c r="I557" s="83"/>
      <c r="J557" s="83"/>
    </row>
    <row r="558" spans="1:10">
      <c r="A558" s="28">
        <v>11000004</v>
      </c>
      <c r="B558" s="34" t="s">
        <v>932</v>
      </c>
      <c r="C558" s="90" t="s">
        <v>933</v>
      </c>
      <c r="D558" s="86">
        <v>190</v>
      </c>
      <c r="E558" s="86">
        <v>4</v>
      </c>
      <c r="F558" s="86">
        <v>7</v>
      </c>
      <c r="G558" s="86">
        <v>10.3</v>
      </c>
      <c r="J558" s="13" t="s">
        <v>46</v>
      </c>
    </row>
    <row r="559" spans="1:10">
      <c r="A559" s="28">
        <v>11000060</v>
      </c>
      <c r="B559" s="34" t="s">
        <v>934</v>
      </c>
      <c r="C559" s="34" t="s">
        <v>935</v>
      </c>
      <c r="D559" s="86">
        <v>175</v>
      </c>
      <c r="E559" s="86">
        <v>7</v>
      </c>
      <c r="F559" s="86">
        <v>9</v>
      </c>
      <c r="G559" s="86">
        <v>10.4</v>
      </c>
      <c r="H559" s="28" t="s">
        <v>15</v>
      </c>
      <c r="I559" s="28" t="s">
        <v>45</v>
      </c>
      <c r="J559" s="13" t="s">
        <v>46</v>
      </c>
    </row>
    <row r="560" spans="1:10">
      <c r="A560" s="28">
        <v>11000018</v>
      </c>
      <c r="B560" s="34" t="s">
        <v>936</v>
      </c>
      <c r="C560" s="34" t="s">
        <v>937</v>
      </c>
      <c r="D560" s="86">
        <v>165</v>
      </c>
      <c r="E560" s="86">
        <v>5</v>
      </c>
      <c r="F560" s="86">
        <v>8</v>
      </c>
      <c r="G560" s="86">
        <v>10.5</v>
      </c>
      <c r="H560" s="40" t="s">
        <v>15</v>
      </c>
      <c r="I560" s="28" t="s">
        <v>257</v>
      </c>
      <c r="J560" s="13" t="s">
        <v>46</v>
      </c>
    </row>
    <row r="561" spans="1:10">
      <c r="A561" s="28">
        <v>11000045</v>
      </c>
      <c r="B561" s="34" t="s">
        <v>938</v>
      </c>
      <c r="C561" s="34" t="s">
        <v>243</v>
      </c>
      <c r="D561" s="86">
        <v>190</v>
      </c>
      <c r="E561" s="86">
        <v>5</v>
      </c>
      <c r="F561" s="86">
        <v>8</v>
      </c>
      <c r="G561" s="86">
        <v>10.4</v>
      </c>
      <c r="J561" s="13" t="s">
        <v>46</v>
      </c>
    </row>
    <row r="562" spans="1:10">
      <c r="A562" s="28">
        <v>11000022</v>
      </c>
      <c r="B562" s="34" t="s">
        <v>939</v>
      </c>
      <c r="C562" s="34" t="s">
        <v>800</v>
      </c>
      <c r="D562" s="86">
        <v>190</v>
      </c>
      <c r="E562" s="86">
        <v>4</v>
      </c>
      <c r="F562" s="86">
        <v>7</v>
      </c>
      <c r="G562" s="86">
        <v>10.5</v>
      </c>
      <c r="H562" s="67" t="s">
        <v>15</v>
      </c>
      <c r="I562" s="28" t="s">
        <v>584</v>
      </c>
      <c r="J562" s="13" t="s">
        <v>46</v>
      </c>
    </row>
    <row r="563" spans="1:10">
      <c r="A563" s="1">
        <v>11000032</v>
      </c>
      <c r="B563" s="34" t="s">
        <v>940</v>
      </c>
      <c r="C563" s="34" t="s">
        <v>941</v>
      </c>
      <c r="D563" s="86">
        <v>190</v>
      </c>
      <c r="E563" s="86">
        <v>4</v>
      </c>
      <c r="F563" s="86">
        <v>7</v>
      </c>
      <c r="G563" s="86">
        <v>9</v>
      </c>
      <c r="H563" s="28" t="s">
        <v>15</v>
      </c>
      <c r="I563" s="28" t="s">
        <v>289</v>
      </c>
      <c r="J563" s="13" t="s">
        <v>46</v>
      </c>
    </row>
    <row r="564" spans="1:10">
      <c r="A564" s="1">
        <v>11000014</v>
      </c>
      <c r="B564" s="34" t="s">
        <v>942</v>
      </c>
      <c r="C564" s="34" t="s">
        <v>943</v>
      </c>
      <c r="D564" s="86">
        <v>200</v>
      </c>
      <c r="E564" s="86">
        <v>7</v>
      </c>
      <c r="F564" s="86">
        <v>10.5</v>
      </c>
      <c r="G564" s="86">
        <v>10.9</v>
      </c>
      <c r="J564" s="13" t="s">
        <v>46</v>
      </c>
    </row>
    <row r="565" spans="1:10">
      <c r="A565" s="1">
        <v>11000003</v>
      </c>
      <c r="B565" s="34" t="s">
        <v>944</v>
      </c>
      <c r="C565" s="34" t="s">
        <v>945</v>
      </c>
      <c r="D565" s="86">
        <v>180</v>
      </c>
      <c r="E565" s="86">
        <v>5</v>
      </c>
      <c r="F565" s="86">
        <v>7</v>
      </c>
      <c r="G565" s="86">
        <v>9.7</v>
      </c>
      <c r="H565" s="91" t="s">
        <v>15</v>
      </c>
      <c r="I565" s="28" t="s">
        <v>359</v>
      </c>
      <c r="J565" s="13" t="s">
        <v>46</v>
      </c>
    </row>
    <row r="566" spans="1:10">
      <c r="B566" s="95" t="s">
        <v>946</v>
      </c>
      <c r="D566" s="96">
        <v>205</v>
      </c>
      <c r="E566" s="96">
        <v>5</v>
      </c>
      <c r="F566" s="96">
        <v>7</v>
      </c>
      <c r="G566" s="96">
        <v>10.4</v>
      </c>
      <c r="H566" s="28" t="s">
        <v>777</v>
      </c>
      <c r="J566" s="13" t="s">
        <v>46</v>
      </c>
    </row>
    <row r="567" spans="1:10">
      <c r="A567" s="1">
        <v>11000054</v>
      </c>
      <c r="B567" s="34" t="s">
        <v>947</v>
      </c>
      <c r="C567" s="34" t="s">
        <v>798</v>
      </c>
      <c r="D567" s="86">
        <v>150</v>
      </c>
      <c r="E567" s="86">
        <v>5</v>
      </c>
      <c r="F567" s="86">
        <v>8</v>
      </c>
      <c r="G567" s="86">
        <v>10.6</v>
      </c>
      <c r="H567" s="40" t="s">
        <v>15</v>
      </c>
      <c r="I567" s="28" t="s">
        <v>257</v>
      </c>
      <c r="J567" s="13" t="s">
        <v>46</v>
      </c>
    </row>
    <row r="568" spans="1:10">
      <c r="A568" s="1">
        <v>11000035</v>
      </c>
      <c r="B568" s="34" t="s">
        <v>948</v>
      </c>
      <c r="C568" s="90" t="s">
        <v>949</v>
      </c>
      <c r="D568" s="86">
        <v>180</v>
      </c>
      <c r="E568" s="86">
        <v>6</v>
      </c>
      <c r="F568" s="86">
        <v>10.4</v>
      </c>
      <c r="G568" s="86">
        <v>10.6</v>
      </c>
      <c r="H568" s="92" t="s">
        <v>15</v>
      </c>
      <c r="I568" s="28" t="s">
        <v>429</v>
      </c>
      <c r="J568" s="13" t="s">
        <v>46</v>
      </c>
    </row>
    <row r="569" spans="1:10">
      <c r="A569" s="1">
        <v>11000031</v>
      </c>
      <c r="B569" s="34" t="s">
        <v>950</v>
      </c>
      <c r="C569" s="90" t="s">
        <v>951</v>
      </c>
      <c r="D569" s="86">
        <v>210</v>
      </c>
      <c r="E569" s="86">
        <v>4</v>
      </c>
      <c r="F569" s="86">
        <v>8</v>
      </c>
      <c r="G569" s="86">
        <v>10.3</v>
      </c>
      <c r="J569" s="13" t="s">
        <v>46</v>
      </c>
    </row>
    <row r="570" spans="1:10">
      <c r="A570" s="1">
        <v>11000008</v>
      </c>
      <c r="B570" s="34" t="s">
        <v>952</v>
      </c>
      <c r="C570" s="34" t="s">
        <v>447</v>
      </c>
      <c r="D570" s="86">
        <v>150</v>
      </c>
      <c r="E570" s="86">
        <v>5</v>
      </c>
      <c r="F570" s="86">
        <v>7</v>
      </c>
      <c r="G570" s="86">
        <v>10.3</v>
      </c>
      <c r="H570" s="67" t="s">
        <v>15</v>
      </c>
      <c r="I570" s="28" t="s">
        <v>584</v>
      </c>
      <c r="J570" s="13" t="s">
        <v>46</v>
      </c>
    </row>
    <row r="571" spans="1:10">
      <c r="A571" s="1">
        <v>11000011</v>
      </c>
      <c r="B571" s="34" t="s">
        <v>953</v>
      </c>
      <c r="C571" s="34" t="s">
        <v>798</v>
      </c>
      <c r="D571" s="86">
        <v>135</v>
      </c>
      <c r="E571" s="86">
        <v>3</v>
      </c>
      <c r="F571" s="86">
        <v>6</v>
      </c>
      <c r="G571" s="86">
        <v>9.4</v>
      </c>
      <c r="H571" s="92" t="s">
        <v>15</v>
      </c>
      <c r="I571" s="28" t="s">
        <v>429</v>
      </c>
      <c r="J571" s="13" t="s">
        <v>46</v>
      </c>
    </row>
    <row r="572" spans="1:10">
      <c r="A572" s="1">
        <v>11000021</v>
      </c>
      <c r="B572" s="34" t="s">
        <v>954</v>
      </c>
      <c r="C572" s="90" t="s">
        <v>262</v>
      </c>
      <c r="D572" s="86">
        <v>106</v>
      </c>
      <c r="E572" s="86">
        <v>2</v>
      </c>
      <c r="F572" s="86">
        <v>6</v>
      </c>
      <c r="G572" s="86">
        <v>8</v>
      </c>
      <c r="H572" s="87" t="s">
        <v>15</v>
      </c>
      <c r="I572" s="87" t="s">
        <v>36</v>
      </c>
      <c r="J572" s="13" t="s">
        <v>46</v>
      </c>
    </row>
    <row r="573" spans="1:10">
      <c r="A573" s="1">
        <v>11000042</v>
      </c>
      <c r="B573" s="34" t="s">
        <v>955</v>
      </c>
      <c r="C573" s="34" t="s">
        <v>526</v>
      </c>
      <c r="D573" s="86">
        <v>145</v>
      </c>
      <c r="E573" s="86">
        <v>3</v>
      </c>
      <c r="F573" s="86">
        <v>6</v>
      </c>
      <c r="G573" s="86">
        <v>9.2</v>
      </c>
      <c r="J573" s="13" t="s">
        <v>46</v>
      </c>
    </row>
    <row r="574" spans="1:10">
      <c r="A574" s="1">
        <v>11000037</v>
      </c>
      <c r="B574" s="34" t="s">
        <v>956</v>
      </c>
      <c r="C574" s="90" t="s">
        <v>957</v>
      </c>
      <c r="D574" s="86">
        <v>200</v>
      </c>
      <c r="E574" s="86">
        <v>5</v>
      </c>
      <c r="F574" s="86">
        <v>9</v>
      </c>
      <c r="G574" s="86">
        <v>10.4</v>
      </c>
      <c r="J574" s="13" t="s">
        <v>46</v>
      </c>
    </row>
    <row r="575" spans="1:10">
      <c r="A575" s="1">
        <v>11000048</v>
      </c>
      <c r="B575" s="34" t="s">
        <v>958</v>
      </c>
      <c r="C575" s="34" t="s">
        <v>959</v>
      </c>
      <c r="D575" s="86">
        <v>190</v>
      </c>
      <c r="E575" s="86">
        <v>5</v>
      </c>
      <c r="F575" s="86">
        <v>8</v>
      </c>
      <c r="G575" s="86">
        <v>10.3</v>
      </c>
      <c r="H575" s="87" t="s">
        <v>15</v>
      </c>
      <c r="I575" s="87" t="s">
        <v>49</v>
      </c>
      <c r="J575" s="13" t="s">
        <v>46</v>
      </c>
    </row>
    <row r="576" spans="1:10">
      <c r="A576" s="1">
        <v>11000098</v>
      </c>
      <c r="B576" s="34" t="s">
        <v>960</v>
      </c>
      <c r="C576" s="90" t="s">
        <v>961</v>
      </c>
      <c r="D576" s="86">
        <v>210</v>
      </c>
      <c r="E576" s="86">
        <v>6</v>
      </c>
      <c r="F576" s="86">
        <v>8</v>
      </c>
      <c r="G576" s="86">
        <v>10.7</v>
      </c>
      <c r="H576" s="87" t="s">
        <v>15</v>
      </c>
      <c r="I576" s="87" t="s">
        <v>49</v>
      </c>
      <c r="J576" s="13" t="s">
        <v>46</v>
      </c>
    </row>
    <row r="577" spans="1:10">
      <c r="A577" s="1">
        <v>11000001</v>
      </c>
      <c r="B577" s="34" t="s">
        <v>962</v>
      </c>
      <c r="C577" s="34" t="s">
        <v>798</v>
      </c>
      <c r="D577" s="86">
        <v>196</v>
      </c>
      <c r="E577" s="86">
        <v>4</v>
      </c>
      <c r="F577" s="86">
        <v>8</v>
      </c>
      <c r="G577" s="86">
        <v>10.5</v>
      </c>
      <c r="H577" s="87" t="s">
        <v>15</v>
      </c>
      <c r="I577" s="87" t="s">
        <v>57</v>
      </c>
      <c r="J577" s="13" t="s">
        <v>46</v>
      </c>
    </row>
    <row r="578" spans="1:10">
      <c r="A578" s="1">
        <v>11000006</v>
      </c>
      <c r="B578" s="34" t="s">
        <v>963</v>
      </c>
      <c r="C578" s="34" t="s">
        <v>747</v>
      </c>
      <c r="D578" s="86">
        <v>196</v>
      </c>
      <c r="E578" s="86">
        <v>5</v>
      </c>
      <c r="F578" s="86">
        <v>8</v>
      </c>
      <c r="G578" s="86">
        <v>10.4</v>
      </c>
      <c r="H578" s="87" t="s">
        <v>15</v>
      </c>
      <c r="I578" s="87" t="s">
        <v>36</v>
      </c>
      <c r="J578" s="13" t="s">
        <v>46</v>
      </c>
    </row>
    <row r="579" spans="1:10">
      <c r="A579" s="1">
        <v>11000112</v>
      </c>
      <c r="B579" s="34" t="s">
        <v>964</v>
      </c>
      <c r="C579" s="34" t="s">
        <v>965</v>
      </c>
      <c r="D579" s="86">
        <v>150</v>
      </c>
      <c r="E579" s="86">
        <v>3</v>
      </c>
      <c r="F579" s="86">
        <v>6</v>
      </c>
      <c r="G579" s="86">
        <v>9.6</v>
      </c>
      <c r="J579" s="13" t="s">
        <v>46</v>
      </c>
    </row>
    <row r="580" spans="1:10">
      <c r="A580" s="1">
        <v>11000043</v>
      </c>
      <c r="B580" s="34" t="s">
        <v>966</v>
      </c>
      <c r="C580" s="34" t="s">
        <v>967</v>
      </c>
      <c r="D580" s="86">
        <v>170</v>
      </c>
      <c r="E580" s="86">
        <v>3</v>
      </c>
      <c r="F580" s="86">
        <v>6</v>
      </c>
      <c r="G580" s="86">
        <v>9.6</v>
      </c>
      <c r="H580" s="28" t="s">
        <v>15</v>
      </c>
      <c r="I580" s="28" t="s">
        <v>66</v>
      </c>
      <c r="J580" s="13" t="s">
        <v>46</v>
      </c>
    </row>
    <row r="581" spans="1:10">
      <c r="A581" s="1">
        <v>11000013</v>
      </c>
      <c r="B581" s="34" t="s">
        <v>968</v>
      </c>
      <c r="C581" s="90" t="s">
        <v>969</v>
      </c>
      <c r="D581" s="86">
        <v>164</v>
      </c>
      <c r="E581" s="86">
        <v>3</v>
      </c>
      <c r="F581" s="86">
        <v>7</v>
      </c>
      <c r="G581" s="86">
        <v>10.3</v>
      </c>
      <c r="J581" s="13" t="s">
        <v>46</v>
      </c>
    </row>
    <row r="582" spans="1:10">
      <c r="A582" s="1">
        <v>11000016</v>
      </c>
      <c r="B582" s="34" t="s">
        <v>970</v>
      </c>
      <c r="C582" s="34" t="s">
        <v>971</v>
      </c>
      <c r="D582" s="86">
        <v>180</v>
      </c>
      <c r="E582" s="86">
        <v>7</v>
      </c>
      <c r="F582" s="86">
        <v>9.6</v>
      </c>
      <c r="G582" s="86">
        <v>10.7</v>
      </c>
      <c r="H582" s="91" t="s">
        <v>15</v>
      </c>
      <c r="I582" s="28" t="s">
        <v>359</v>
      </c>
      <c r="J582" s="13" t="s">
        <v>46</v>
      </c>
    </row>
    <row r="583" spans="1:10">
      <c r="A583" s="1">
        <v>11000052</v>
      </c>
      <c r="B583" s="34" t="s">
        <v>972</v>
      </c>
      <c r="C583" s="90" t="s">
        <v>973</v>
      </c>
      <c r="D583" s="86">
        <v>133</v>
      </c>
      <c r="E583" s="86">
        <v>3</v>
      </c>
      <c r="F583" s="86">
        <v>7</v>
      </c>
      <c r="G583" s="86">
        <v>9.5</v>
      </c>
      <c r="H583" s="67" t="s">
        <v>15</v>
      </c>
      <c r="I583" s="28" t="s">
        <v>584</v>
      </c>
      <c r="J583" s="13" t="s">
        <v>46</v>
      </c>
    </row>
    <row r="584" spans="1:10">
      <c r="A584" s="1">
        <v>11000057</v>
      </c>
      <c r="B584" s="34" t="s">
        <v>974</v>
      </c>
      <c r="C584" s="90" t="s">
        <v>975</v>
      </c>
      <c r="D584" s="86">
        <v>200</v>
      </c>
      <c r="E584" s="86">
        <v>4</v>
      </c>
      <c r="F584" s="86">
        <v>7</v>
      </c>
      <c r="G584" s="86">
        <v>10.5</v>
      </c>
      <c r="J584" s="13" t="s">
        <v>46</v>
      </c>
    </row>
    <row r="585" spans="1:10">
      <c r="A585" s="28">
        <v>11000055</v>
      </c>
      <c r="B585" s="34" t="s">
        <v>976</v>
      </c>
      <c r="C585" s="34" t="s">
        <v>780</v>
      </c>
      <c r="D585" s="86">
        <v>200</v>
      </c>
      <c r="E585" s="86">
        <v>5</v>
      </c>
      <c r="F585" s="86">
        <v>8</v>
      </c>
      <c r="G585" s="86">
        <v>10.3</v>
      </c>
      <c r="J585" s="13" t="s">
        <v>46</v>
      </c>
    </row>
    <row r="586" spans="1:10">
      <c r="A586" s="28">
        <v>11000053</v>
      </c>
      <c r="B586" s="34" t="s">
        <v>977</v>
      </c>
      <c r="C586" s="34" t="s">
        <v>70</v>
      </c>
      <c r="D586" s="86" t="s">
        <v>978</v>
      </c>
      <c r="E586" s="86">
        <v>2</v>
      </c>
      <c r="F586" s="86">
        <v>6</v>
      </c>
      <c r="G586" s="86">
        <v>10.3</v>
      </c>
      <c r="J586" s="13" t="s">
        <v>46</v>
      </c>
    </row>
    <row r="587" spans="1:10">
      <c r="A587" s="28">
        <v>11000020</v>
      </c>
      <c r="B587" s="34" t="s">
        <v>979</v>
      </c>
      <c r="C587" s="34" t="s">
        <v>980</v>
      </c>
      <c r="D587" s="86">
        <v>196</v>
      </c>
      <c r="E587" s="86">
        <v>4</v>
      </c>
      <c r="F587" s="86">
        <v>8</v>
      </c>
      <c r="G587" s="86">
        <v>9.1</v>
      </c>
      <c r="J587" s="13" t="s">
        <v>46</v>
      </c>
    </row>
    <row r="588" spans="1:10">
      <c r="A588" s="1">
        <v>11000046</v>
      </c>
      <c r="B588" s="34" t="s">
        <v>981</v>
      </c>
      <c r="C588" s="34" t="s">
        <v>65</v>
      </c>
      <c r="D588" s="86">
        <v>190</v>
      </c>
      <c r="E588" s="86">
        <v>3</v>
      </c>
      <c r="F588" s="86">
        <v>7</v>
      </c>
      <c r="G588" s="86">
        <v>10.4</v>
      </c>
      <c r="H588" s="28" t="s">
        <v>15</v>
      </c>
      <c r="I588" s="28" t="s">
        <v>24</v>
      </c>
      <c r="J588" s="13" t="s">
        <v>46</v>
      </c>
    </row>
    <row r="589" spans="1:10">
      <c r="A589" s="1">
        <v>11000049</v>
      </c>
      <c r="B589" s="34" t="s">
        <v>982</v>
      </c>
      <c r="C589" s="34" t="s">
        <v>117</v>
      </c>
      <c r="D589" s="86">
        <v>167</v>
      </c>
      <c r="E589" s="86">
        <v>4</v>
      </c>
      <c r="F589" s="86">
        <v>7</v>
      </c>
      <c r="G589" s="86">
        <v>10.3</v>
      </c>
      <c r="J589" s="13" t="s">
        <v>46</v>
      </c>
    </row>
    <row r="590" spans="1:10">
      <c r="A590" s="1">
        <v>11000059</v>
      </c>
      <c r="B590" s="34" t="s">
        <v>983</v>
      </c>
      <c r="C590" s="34" t="s">
        <v>984</v>
      </c>
      <c r="D590" s="86">
        <v>170</v>
      </c>
      <c r="E590" s="86">
        <v>5</v>
      </c>
      <c r="F590" s="86">
        <v>8</v>
      </c>
      <c r="G590" s="86">
        <v>10.5</v>
      </c>
      <c r="H590" s="28" t="s">
        <v>15</v>
      </c>
      <c r="I590" s="28" t="s">
        <v>24</v>
      </c>
      <c r="J590" s="13" t="s">
        <v>46</v>
      </c>
    </row>
    <row r="591" spans="1:10">
      <c r="A591" s="1">
        <v>11000005</v>
      </c>
      <c r="B591" s="34" t="s">
        <v>985</v>
      </c>
      <c r="C591" s="34" t="s">
        <v>705</v>
      </c>
      <c r="D591" s="86">
        <v>198</v>
      </c>
      <c r="E591" s="86">
        <v>3</v>
      </c>
      <c r="F591" s="86">
        <v>7</v>
      </c>
      <c r="G591" s="86">
        <v>10.4</v>
      </c>
      <c r="J591" s="13" t="s">
        <v>46</v>
      </c>
    </row>
    <row r="592" spans="1:10">
      <c r="A592" s="1">
        <v>11000036</v>
      </c>
      <c r="B592" s="34" t="s">
        <v>986</v>
      </c>
      <c r="C592" s="34" t="s">
        <v>987</v>
      </c>
      <c r="D592" s="86">
        <v>180</v>
      </c>
      <c r="E592" s="86">
        <v>3</v>
      </c>
      <c r="F592" s="86">
        <v>7</v>
      </c>
      <c r="G592" s="86">
        <v>9.2</v>
      </c>
      <c r="J592" s="13" t="s">
        <v>46</v>
      </c>
    </row>
    <row r="593" spans="1:10">
      <c r="A593" s="1">
        <v>11000034</v>
      </c>
      <c r="B593" s="34" t="s">
        <v>988</v>
      </c>
      <c r="C593" s="34" t="s">
        <v>674</v>
      </c>
      <c r="D593" s="86">
        <v>175</v>
      </c>
      <c r="E593" s="86">
        <v>5</v>
      </c>
      <c r="F593" s="86">
        <v>9.6</v>
      </c>
      <c r="G593" s="86">
        <v>10.3</v>
      </c>
      <c r="H593" s="91" t="s">
        <v>15</v>
      </c>
      <c r="I593" s="28" t="s">
        <v>359</v>
      </c>
      <c r="J593" s="13" t="s">
        <v>46</v>
      </c>
    </row>
    <row r="594" spans="1:10">
      <c r="A594" s="1">
        <v>11000009</v>
      </c>
      <c r="B594" s="34" t="s">
        <v>989</v>
      </c>
      <c r="C594" s="34" t="s">
        <v>414</v>
      </c>
      <c r="D594" s="86">
        <v>160</v>
      </c>
      <c r="E594" s="86">
        <v>5</v>
      </c>
      <c r="F594" s="86">
        <v>7</v>
      </c>
      <c r="G594" s="86">
        <v>10.4</v>
      </c>
      <c r="H594" s="28" t="s">
        <v>15</v>
      </c>
      <c r="I594" s="28" t="s">
        <v>45</v>
      </c>
      <c r="J594" s="13" t="s">
        <v>46</v>
      </c>
    </row>
    <row r="595" spans="1:10">
      <c r="A595" s="1">
        <v>11000002</v>
      </c>
      <c r="B595" s="34" t="s">
        <v>990</v>
      </c>
      <c r="C595" s="34" t="s">
        <v>653</v>
      </c>
      <c r="D595" s="86">
        <v>180</v>
      </c>
      <c r="E595" s="86">
        <v>5</v>
      </c>
      <c r="F595" s="86">
        <v>8</v>
      </c>
      <c r="G595" s="86">
        <v>10.4</v>
      </c>
      <c r="J595" s="13" t="s">
        <v>46</v>
      </c>
    </row>
    <row r="596" spans="1:10">
      <c r="A596" s="1">
        <v>11000033</v>
      </c>
      <c r="B596" s="34" t="s">
        <v>991</v>
      </c>
      <c r="C596" s="34" t="s">
        <v>655</v>
      </c>
      <c r="D596" s="86">
        <v>132</v>
      </c>
      <c r="E596" s="86">
        <v>3</v>
      </c>
      <c r="F596" s="86">
        <v>6</v>
      </c>
      <c r="G596" s="86">
        <v>9.2</v>
      </c>
      <c r="J596" s="13" t="s">
        <v>46</v>
      </c>
    </row>
    <row r="597" spans="1:10">
      <c r="A597" s="28">
        <v>11000056</v>
      </c>
      <c r="B597" s="34" t="s">
        <v>992</v>
      </c>
      <c r="C597" s="34" t="s">
        <v>993</v>
      </c>
      <c r="D597" s="86">
        <v>212</v>
      </c>
      <c r="E597" s="86">
        <v>6</v>
      </c>
      <c r="F597" s="86">
        <v>9.7</v>
      </c>
      <c r="G597" s="86">
        <v>10.6</v>
      </c>
      <c r="J597" s="13" t="s">
        <v>46</v>
      </c>
    </row>
    <row r="598" spans="1:10">
      <c r="A598" s="28">
        <v>11000010</v>
      </c>
      <c r="B598" s="34" t="s">
        <v>994</v>
      </c>
      <c r="C598" s="34" t="s">
        <v>773</v>
      </c>
      <c r="D598" s="86" t="s">
        <v>995</v>
      </c>
      <c r="E598" s="86">
        <v>3</v>
      </c>
      <c r="F598" s="86">
        <v>7</v>
      </c>
      <c r="G598" s="86">
        <v>9.8</v>
      </c>
      <c r="J598" s="13" t="s">
        <v>46</v>
      </c>
    </row>
    <row r="599" spans="1:10">
      <c r="A599" s="28">
        <v>11000047</v>
      </c>
      <c r="B599" s="34" t="s">
        <v>996</v>
      </c>
      <c r="C599" s="34" t="s">
        <v>215</v>
      </c>
      <c r="D599" s="86">
        <v>160</v>
      </c>
      <c r="E599" s="86">
        <v>4</v>
      </c>
      <c r="F599" s="86">
        <v>8</v>
      </c>
      <c r="G599" s="86">
        <v>10.3</v>
      </c>
      <c r="J599" s="13" t="s">
        <v>46</v>
      </c>
    </row>
    <row r="600" spans="1:10">
      <c r="A600" s="28">
        <v>11000110</v>
      </c>
      <c r="B600" s="34" t="s">
        <v>997</v>
      </c>
      <c r="C600" s="90" t="s">
        <v>998</v>
      </c>
      <c r="D600" s="86">
        <v>175</v>
      </c>
      <c r="E600" s="86">
        <v>4</v>
      </c>
      <c r="F600" s="86">
        <v>7</v>
      </c>
      <c r="G600" s="86">
        <v>9.7</v>
      </c>
      <c r="J600" s="13" t="s">
        <v>46</v>
      </c>
    </row>
    <row r="601" spans="1:10">
      <c r="A601" s="1">
        <v>11000007</v>
      </c>
      <c r="B601" s="34" t="s">
        <v>999</v>
      </c>
      <c r="C601" s="90" t="s">
        <v>1000</v>
      </c>
      <c r="D601" s="86">
        <v>140</v>
      </c>
      <c r="E601" s="86">
        <v>3</v>
      </c>
      <c r="F601" s="86">
        <v>7</v>
      </c>
      <c r="G601" s="86">
        <v>9.6</v>
      </c>
      <c r="H601" s="92" t="s">
        <v>15</v>
      </c>
      <c r="I601" s="28" t="s">
        <v>429</v>
      </c>
      <c r="J601" s="13" t="s">
        <v>46</v>
      </c>
    </row>
    <row r="602" spans="1:10">
      <c r="A602" s="1">
        <v>11000019</v>
      </c>
      <c r="B602" s="34" t="s">
        <v>1001</v>
      </c>
      <c r="C602" s="34" t="s">
        <v>1002</v>
      </c>
      <c r="D602" s="86">
        <v>150</v>
      </c>
      <c r="E602" s="86">
        <v>4</v>
      </c>
      <c r="F602" s="86">
        <v>8</v>
      </c>
      <c r="G602" s="86">
        <v>10.4</v>
      </c>
      <c r="H602" s="87" t="s">
        <v>15</v>
      </c>
      <c r="I602" s="87" t="s">
        <v>20</v>
      </c>
      <c r="J602" s="13" t="s">
        <v>46</v>
      </c>
    </row>
    <row r="603" spans="1:10">
      <c r="A603" s="1">
        <v>11000017</v>
      </c>
      <c r="B603" s="34" t="s">
        <v>1003</v>
      </c>
      <c r="C603" s="34" t="s">
        <v>1004</v>
      </c>
      <c r="D603" s="86">
        <v>178</v>
      </c>
      <c r="E603" s="86">
        <v>3</v>
      </c>
      <c r="F603" s="86">
        <v>7</v>
      </c>
      <c r="G603" s="86">
        <v>9.7</v>
      </c>
      <c r="H603" s="40" t="s">
        <v>15</v>
      </c>
      <c r="I603" s="28" t="s">
        <v>257</v>
      </c>
      <c r="J603" s="13" t="s">
        <v>46</v>
      </c>
    </row>
    <row r="604" spans="1:10">
      <c r="A604" s="28" t="s">
        <v>1005</v>
      </c>
      <c r="B604" s="28"/>
      <c r="C604" s="28"/>
    </row>
    <row r="605" spans="1:10">
      <c r="B605" s="28" t="s">
        <v>1006</v>
      </c>
      <c r="C605" s="28" t="s">
        <v>649</v>
      </c>
      <c r="D605" s="79"/>
      <c r="E605" s="79"/>
      <c r="F605" s="79"/>
      <c r="G605" s="79"/>
      <c r="J605" s="89" t="s">
        <v>50</v>
      </c>
    </row>
    <row r="606" spans="1:10">
      <c r="B606" s="28" t="s">
        <v>1007</v>
      </c>
      <c r="C606" s="28" t="s">
        <v>1008</v>
      </c>
      <c r="D606" s="79"/>
      <c r="E606" s="79"/>
      <c r="F606" s="79"/>
      <c r="G606" s="79"/>
      <c r="J606" s="89" t="s">
        <v>50</v>
      </c>
    </row>
    <row r="607" spans="1:10">
      <c r="B607" s="28" t="s">
        <v>1009</v>
      </c>
      <c r="C607" s="28" t="s">
        <v>381</v>
      </c>
      <c r="D607" s="79"/>
      <c r="E607" s="79"/>
      <c r="F607" s="79"/>
      <c r="G607" s="79"/>
      <c r="J607" s="89" t="s">
        <v>50</v>
      </c>
    </row>
    <row r="608" spans="1:10">
      <c r="B608" s="28" t="s">
        <v>1010</v>
      </c>
      <c r="C608" s="28" t="s">
        <v>1011</v>
      </c>
      <c r="D608" s="79"/>
      <c r="E608" s="79"/>
      <c r="F608" s="79"/>
      <c r="G608" s="79"/>
      <c r="J608" s="89" t="s">
        <v>50</v>
      </c>
    </row>
    <row r="609" spans="2:10">
      <c r="B609" s="28" t="s">
        <v>1012</v>
      </c>
      <c r="C609" s="28" t="s">
        <v>1013</v>
      </c>
      <c r="D609" s="79"/>
      <c r="E609" s="79"/>
      <c r="F609" s="79"/>
      <c r="G609" s="79"/>
      <c r="J609" s="89" t="s">
        <v>50</v>
      </c>
    </row>
    <row r="610" spans="2:10">
      <c r="B610" s="28" t="s">
        <v>1014</v>
      </c>
      <c r="C610" s="28" t="s">
        <v>1015</v>
      </c>
      <c r="D610" s="79"/>
      <c r="E610" s="79"/>
      <c r="F610" s="79"/>
      <c r="G610" s="79"/>
      <c r="J610" s="89" t="s">
        <v>50</v>
      </c>
    </row>
    <row r="611" spans="2:10">
      <c r="B611" s="95" t="s">
        <v>1016</v>
      </c>
      <c r="C611" s="28" t="s">
        <v>53</v>
      </c>
      <c r="D611" s="79"/>
      <c r="E611" s="79"/>
      <c r="F611" s="79"/>
      <c r="G611" s="79"/>
      <c r="J611" s="89" t="s">
        <v>50</v>
      </c>
    </row>
    <row r="612" spans="2:10">
      <c r="B612" s="28" t="s">
        <v>1017</v>
      </c>
      <c r="C612" s="28" t="s">
        <v>1018</v>
      </c>
      <c r="D612" s="79"/>
      <c r="E612" s="79"/>
      <c r="F612" s="79"/>
      <c r="G612" s="79"/>
      <c r="J612" s="89" t="s">
        <v>50</v>
      </c>
    </row>
    <row r="613" spans="2:10">
      <c r="B613" s="28" t="s">
        <v>1019</v>
      </c>
      <c r="C613" s="28" t="s">
        <v>1020</v>
      </c>
      <c r="D613" s="79"/>
      <c r="E613" s="79"/>
      <c r="F613" s="79"/>
      <c r="G613" s="79"/>
      <c r="J613" s="89" t="s">
        <v>50</v>
      </c>
    </row>
    <row r="614" spans="2:10">
      <c r="B614" s="79" t="s">
        <v>1021</v>
      </c>
      <c r="C614" s="79" t="s">
        <v>1022</v>
      </c>
      <c r="D614" s="79"/>
      <c r="E614" s="79"/>
      <c r="F614" s="79"/>
      <c r="G614" s="79"/>
      <c r="J614" s="89" t="s">
        <v>50</v>
      </c>
    </row>
    <row r="615" spans="2:10">
      <c r="B615" s="28" t="s">
        <v>1023</v>
      </c>
      <c r="C615" s="28" t="s">
        <v>798</v>
      </c>
      <c r="D615" s="79"/>
      <c r="E615" s="79"/>
      <c r="F615" s="79"/>
      <c r="G615" s="79"/>
      <c r="J615" s="89" t="s">
        <v>50</v>
      </c>
    </row>
    <row r="616" spans="2:10">
      <c r="B616" s="28" t="s">
        <v>1024</v>
      </c>
      <c r="C616" s="28" t="s">
        <v>90</v>
      </c>
      <c r="D616" s="79"/>
      <c r="E616" s="79"/>
      <c r="F616" s="79"/>
      <c r="G616" s="79"/>
      <c r="J616" s="89" t="s">
        <v>50</v>
      </c>
    </row>
    <row r="617" spans="2:10">
      <c r="B617" s="28" t="s">
        <v>1025</v>
      </c>
      <c r="C617" s="28" t="s">
        <v>859</v>
      </c>
      <c r="D617" s="79"/>
      <c r="E617" s="79"/>
      <c r="F617" s="79"/>
      <c r="G617" s="79"/>
      <c r="J617" s="89" t="s">
        <v>50</v>
      </c>
    </row>
    <row r="618" spans="2:10">
      <c r="B618" s="28" t="s">
        <v>1026</v>
      </c>
      <c r="C618" s="28" t="s">
        <v>833</v>
      </c>
      <c r="D618" s="79"/>
      <c r="E618" s="79"/>
      <c r="F618" s="79"/>
      <c r="G618" s="79"/>
      <c r="J618" s="89" t="s">
        <v>50</v>
      </c>
    </row>
    <row r="619" spans="2:10">
      <c r="B619" s="28" t="s">
        <v>1027</v>
      </c>
      <c r="C619" s="28" t="s">
        <v>859</v>
      </c>
      <c r="D619" s="79"/>
      <c r="E619" s="79"/>
      <c r="F619" s="79"/>
      <c r="G619" s="79"/>
      <c r="J619" s="89" t="s">
        <v>50</v>
      </c>
    </row>
    <row r="620" spans="2:10">
      <c r="B620" s="28" t="s">
        <v>1028</v>
      </c>
      <c r="C620" s="28" t="s">
        <v>1029</v>
      </c>
      <c r="D620" s="79"/>
      <c r="E620" s="79"/>
      <c r="F620" s="79"/>
      <c r="G620" s="79"/>
      <c r="J620" s="89" t="s">
        <v>50</v>
      </c>
    </row>
    <row r="621" spans="2:10">
      <c r="B621" s="28" t="s">
        <v>1030</v>
      </c>
      <c r="C621" s="28" t="s">
        <v>773</v>
      </c>
      <c r="D621" s="79"/>
      <c r="E621" s="79"/>
      <c r="F621" s="79"/>
      <c r="G621" s="79"/>
      <c r="J621" s="89" t="s">
        <v>50</v>
      </c>
    </row>
    <row r="622" spans="2:10">
      <c r="B622" s="28" t="s">
        <v>1031</v>
      </c>
      <c r="C622" s="28" t="s">
        <v>1032</v>
      </c>
      <c r="D622" s="79"/>
      <c r="E622" s="79"/>
      <c r="F622" s="79"/>
      <c r="G622" s="79"/>
      <c r="J622" s="89" t="s">
        <v>50</v>
      </c>
    </row>
    <row r="623" spans="2:10">
      <c r="B623" s="28" t="s">
        <v>1033</v>
      </c>
      <c r="C623" s="28" t="s">
        <v>1034</v>
      </c>
      <c r="D623" s="79"/>
      <c r="E623" s="79"/>
      <c r="F623" s="79"/>
      <c r="G623" s="79"/>
      <c r="J623" s="89" t="s">
        <v>50</v>
      </c>
    </row>
    <row r="624" spans="2:10">
      <c r="B624" s="28" t="s">
        <v>1035</v>
      </c>
      <c r="C624" s="28" t="s">
        <v>790</v>
      </c>
      <c r="D624" s="79"/>
      <c r="E624" s="79"/>
      <c r="F624" s="79"/>
      <c r="G624" s="79"/>
      <c r="J624" s="89" t="s">
        <v>50</v>
      </c>
    </row>
    <row r="625" spans="2:10">
      <c r="B625" s="79" t="s">
        <v>1036</v>
      </c>
      <c r="C625" s="79" t="s">
        <v>1037</v>
      </c>
      <c r="D625" s="79"/>
      <c r="E625" s="79"/>
      <c r="F625" s="79"/>
      <c r="G625" s="79"/>
      <c r="J625" s="89" t="s">
        <v>50</v>
      </c>
    </row>
    <row r="626" spans="2:10">
      <c r="B626" s="28" t="s">
        <v>1038</v>
      </c>
      <c r="C626" s="28" t="s">
        <v>1039</v>
      </c>
      <c r="D626" s="79"/>
      <c r="E626" s="79"/>
      <c r="F626" s="79"/>
      <c r="G626" s="79"/>
      <c r="J626" s="89" t="s">
        <v>50</v>
      </c>
    </row>
    <row r="627" spans="2:10">
      <c r="B627" s="28" t="s">
        <v>1040</v>
      </c>
      <c r="C627" s="28" t="s">
        <v>747</v>
      </c>
      <c r="D627" s="79"/>
      <c r="E627" s="79"/>
      <c r="F627" s="79"/>
      <c r="G627" s="79"/>
      <c r="J627" s="89" t="s">
        <v>50</v>
      </c>
    </row>
    <row r="628" spans="2:10">
      <c r="B628" s="28" t="s">
        <v>1041</v>
      </c>
      <c r="C628" s="28" t="s">
        <v>1042</v>
      </c>
      <c r="D628" s="79"/>
      <c r="E628" s="79"/>
      <c r="F628" s="79"/>
      <c r="G628" s="79"/>
      <c r="J628" s="89" t="s">
        <v>50</v>
      </c>
    </row>
    <row r="629" spans="2:10">
      <c r="B629" s="28" t="s">
        <v>1043</v>
      </c>
      <c r="C629" s="28" t="s">
        <v>1044</v>
      </c>
      <c r="D629" s="79"/>
      <c r="E629" s="79"/>
      <c r="F629" s="79"/>
      <c r="G629" s="79"/>
      <c r="J629" s="89" t="s">
        <v>50</v>
      </c>
    </row>
    <row r="630" spans="2:10">
      <c r="B630" s="28" t="s">
        <v>1045</v>
      </c>
      <c r="C630" s="28" t="s">
        <v>65</v>
      </c>
      <c r="D630" s="79"/>
      <c r="E630" s="79"/>
      <c r="F630" s="79"/>
      <c r="G630" s="79"/>
      <c r="J630" s="89" t="s">
        <v>50</v>
      </c>
    </row>
    <row r="631" spans="2:10">
      <c r="B631" s="28" t="s">
        <v>1046</v>
      </c>
      <c r="C631" s="28" t="s">
        <v>827</v>
      </c>
      <c r="D631" s="79"/>
      <c r="E631" s="79"/>
      <c r="F631" s="79"/>
      <c r="G631" s="79"/>
      <c r="J631" s="89" t="s">
        <v>50</v>
      </c>
    </row>
    <row r="632" spans="2:10">
      <c r="B632" s="28" t="s">
        <v>1047</v>
      </c>
      <c r="C632" s="28" t="s">
        <v>1048</v>
      </c>
      <c r="D632" s="79"/>
      <c r="E632" s="79"/>
      <c r="F632" s="79"/>
      <c r="G632" s="79"/>
      <c r="J632" s="89" t="s">
        <v>50</v>
      </c>
    </row>
    <row r="633" spans="2:10">
      <c r="B633" s="28" t="s">
        <v>1049</v>
      </c>
      <c r="C633" s="28" t="s">
        <v>1050</v>
      </c>
      <c r="D633" s="79"/>
      <c r="E633" s="79"/>
      <c r="F633" s="79"/>
      <c r="G633" s="79"/>
      <c r="J633" s="89" t="s">
        <v>50</v>
      </c>
    </row>
    <row r="634" spans="2:10">
      <c r="B634" s="28" t="s">
        <v>1051</v>
      </c>
      <c r="C634" s="28" t="s">
        <v>747</v>
      </c>
      <c r="D634" s="79"/>
      <c r="E634" s="79"/>
      <c r="F634" s="79"/>
      <c r="G634" s="79"/>
      <c r="J634" s="89" t="s">
        <v>50</v>
      </c>
    </row>
    <row r="635" spans="2:10">
      <c r="B635" s="28" t="s">
        <v>1052</v>
      </c>
      <c r="C635" s="28" t="s">
        <v>1053</v>
      </c>
      <c r="D635" s="79"/>
      <c r="E635" s="79"/>
      <c r="F635" s="79"/>
      <c r="G635" s="79"/>
      <c r="J635" s="89" t="s">
        <v>50</v>
      </c>
    </row>
    <row r="636" spans="2:10">
      <c r="B636" s="28" t="s">
        <v>1054</v>
      </c>
      <c r="C636" s="28" t="s">
        <v>1055</v>
      </c>
      <c r="D636" s="79"/>
      <c r="E636" s="79"/>
      <c r="F636" s="79"/>
      <c r="G636" s="79"/>
      <c r="J636" s="89" t="s">
        <v>50</v>
      </c>
    </row>
    <row r="637" spans="2:10">
      <c r="B637" s="28" t="s">
        <v>1056</v>
      </c>
      <c r="C637" s="28" t="s">
        <v>1057</v>
      </c>
      <c r="D637" s="79"/>
      <c r="E637" s="79"/>
      <c r="F637" s="79"/>
      <c r="G637" s="79"/>
      <c r="J637" s="89" t="s">
        <v>50</v>
      </c>
    </row>
    <row r="638" spans="2:10">
      <c r="B638" s="28" t="s">
        <v>1058</v>
      </c>
      <c r="C638" s="28" t="s">
        <v>1059</v>
      </c>
      <c r="D638" s="79"/>
      <c r="E638" s="79"/>
      <c r="F638" s="79"/>
      <c r="G638" s="79"/>
      <c r="J638" s="89" t="s">
        <v>50</v>
      </c>
    </row>
    <row r="639" spans="2:10">
      <c r="B639" s="28" t="s">
        <v>1060</v>
      </c>
      <c r="C639" s="28" t="s">
        <v>1061</v>
      </c>
      <c r="D639" s="79"/>
      <c r="E639" s="79"/>
      <c r="F639" s="79"/>
      <c r="G639" s="79"/>
      <c r="J639" s="89" t="s">
        <v>50</v>
      </c>
    </row>
    <row r="640" spans="2:10">
      <c r="B640" s="28" t="s">
        <v>1062</v>
      </c>
      <c r="C640" s="28" t="s">
        <v>761</v>
      </c>
      <c r="D640" s="79"/>
      <c r="E640" s="79"/>
      <c r="F640" s="79"/>
      <c r="G640" s="79"/>
      <c r="J640" s="89" t="s">
        <v>50</v>
      </c>
    </row>
    <row r="641" spans="2:10">
      <c r="B641" s="28" t="s">
        <v>1063</v>
      </c>
      <c r="C641" s="28" t="s">
        <v>1064</v>
      </c>
      <c r="D641" s="79"/>
      <c r="E641" s="79"/>
      <c r="F641" s="79"/>
      <c r="G641" s="79"/>
      <c r="J641" s="89" t="s">
        <v>50</v>
      </c>
    </row>
    <row r="642" spans="2:10">
      <c r="B642" s="28" t="s">
        <v>1065</v>
      </c>
      <c r="C642" s="28" t="s">
        <v>747</v>
      </c>
      <c r="D642" s="79"/>
      <c r="E642" s="79"/>
      <c r="F642" s="79"/>
      <c r="G642" s="79"/>
      <c r="J642" s="89" t="s">
        <v>50</v>
      </c>
    </row>
    <row r="643" spans="2:10">
      <c r="B643" s="28" t="s">
        <v>1066</v>
      </c>
      <c r="C643" s="28" t="s">
        <v>1067</v>
      </c>
      <c r="D643" s="79"/>
      <c r="E643" s="79"/>
      <c r="F643" s="79"/>
      <c r="G643" s="79"/>
      <c r="J643" s="89" t="s">
        <v>50</v>
      </c>
    </row>
    <row r="644" spans="2:10">
      <c r="B644" s="28" t="s">
        <v>1068</v>
      </c>
      <c r="C644" s="28" t="s">
        <v>1069</v>
      </c>
      <c r="D644" s="79"/>
      <c r="E644" s="79"/>
      <c r="F644" s="79"/>
      <c r="G644" s="79"/>
      <c r="J644" s="89" t="s">
        <v>50</v>
      </c>
    </row>
    <row r="645" spans="2:10">
      <c r="B645" s="28" t="s">
        <v>1070</v>
      </c>
      <c r="C645" s="28" t="s">
        <v>1071</v>
      </c>
      <c r="D645" s="79"/>
      <c r="E645" s="79"/>
      <c r="F645" s="79"/>
      <c r="G645" s="79"/>
      <c r="J645" s="89" t="s">
        <v>50</v>
      </c>
    </row>
    <row r="646" spans="2:10">
      <c r="B646" s="28" t="s">
        <v>1072</v>
      </c>
      <c r="C646" s="28" t="s">
        <v>1073</v>
      </c>
      <c r="D646" s="79"/>
      <c r="E646" s="79"/>
      <c r="F646" s="79"/>
      <c r="G646" s="79"/>
      <c r="J646" s="89" t="s">
        <v>50</v>
      </c>
    </row>
    <row r="647" spans="2:10">
      <c r="B647" s="28" t="s">
        <v>1074</v>
      </c>
      <c r="C647" s="28" t="s">
        <v>1075</v>
      </c>
      <c r="D647" s="79"/>
      <c r="E647" s="79"/>
      <c r="F647" s="79"/>
      <c r="G647" s="79"/>
      <c r="J647" s="89" t="s">
        <v>50</v>
      </c>
    </row>
    <row r="648" spans="2:10">
      <c r="B648" s="28" t="s">
        <v>1076</v>
      </c>
      <c r="C648" s="28" t="s">
        <v>1077</v>
      </c>
      <c r="D648" s="79"/>
      <c r="E648" s="79"/>
      <c r="F648" s="79"/>
      <c r="G648" s="79"/>
      <c r="J648" s="89" t="s">
        <v>50</v>
      </c>
    </row>
    <row r="649" spans="2:10">
      <c r="B649" s="95" t="s">
        <v>1078</v>
      </c>
      <c r="C649" s="28" t="s">
        <v>241</v>
      </c>
      <c r="D649" s="79"/>
      <c r="E649" s="79"/>
      <c r="F649" s="79"/>
      <c r="G649" s="79"/>
      <c r="J649" s="89" t="s">
        <v>50</v>
      </c>
    </row>
    <row r="650" spans="2:10">
      <c r="B650" s="95" t="s">
        <v>1079</v>
      </c>
      <c r="C650" s="28" t="s">
        <v>243</v>
      </c>
      <c r="D650" s="79"/>
      <c r="E650" s="79"/>
      <c r="F650" s="79"/>
      <c r="G650" s="79"/>
      <c r="J650" s="89" t="s">
        <v>50</v>
      </c>
    </row>
    <row r="651" spans="2:10">
      <c r="B651" s="28" t="s">
        <v>1080</v>
      </c>
      <c r="C651" s="28" t="s">
        <v>645</v>
      </c>
      <c r="D651" s="79"/>
      <c r="E651" s="79"/>
      <c r="F651" s="79"/>
      <c r="G651" s="79"/>
      <c r="J651" s="89" t="s">
        <v>50</v>
      </c>
    </row>
    <row r="652" spans="2:10">
      <c r="B652" s="28" t="s">
        <v>1081</v>
      </c>
      <c r="C652" s="28" t="s">
        <v>747</v>
      </c>
      <c r="D652" s="79"/>
      <c r="E652" s="79"/>
      <c r="F652" s="79"/>
      <c r="G652" s="79"/>
      <c r="J652" s="89" t="s">
        <v>50</v>
      </c>
    </row>
    <row r="653" spans="2:10">
      <c r="B653" s="28" t="s">
        <v>1082</v>
      </c>
      <c r="C653" s="28" t="s">
        <v>1083</v>
      </c>
      <c r="D653" s="79"/>
      <c r="E653" s="79"/>
      <c r="F653" s="79"/>
      <c r="G653" s="79"/>
      <c r="J653" s="89" t="s">
        <v>50</v>
      </c>
    </row>
    <row r="654" spans="2:10">
      <c r="B654" s="28" t="s">
        <v>1084</v>
      </c>
      <c r="C654" s="28" t="s">
        <v>1059</v>
      </c>
      <c r="D654" s="79"/>
      <c r="E654" s="79"/>
      <c r="F654" s="79"/>
      <c r="G654" s="79"/>
      <c r="J654" s="89" t="s">
        <v>50</v>
      </c>
    </row>
    <row r="655" spans="2:10">
      <c r="B655" s="28" t="s">
        <v>1085</v>
      </c>
      <c r="C655" s="28" t="s">
        <v>1086</v>
      </c>
      <c r="D655" s="79"/>
      <c r="E655" s="79"/>
      <c r="F655" s="79"/>
      <c r="G655" s="79"/>
      <c r="J655" s="89" t="s">
        <v>50</v>
      </c>
    </row>
    <row r="656" spans="2:10">
      <c r="B656" s="79" t="s">
        <v>1087</v>
      </c>
      <c r="C656" s="79" t="s">
        <v>1088</v>
      </c>
      <c r="D656" s="79"/>
      <c r="E656" s="79"/>
      <c r="F656" s="79"/>
      <c r="G656" s="79"/>
      <c r="J656" s="89" t="s">
        <v>50</v>
      </c>
    </row>
    <row r="657" spans="2:10">
      <c r="B657" s="28" t="s">
        <v>1089</v>
      </c>
      <c r="C657" s="28" t="s">
        <v>1090</v>
      </c>
      <c r="D657" s="79"/>
      <c r="E657" s="79"/>
      <c r="F657" s="79"/>
      <c r="G657" s="79"/>
      <c r="J657" s="89" t="s">
        <v>50</v>
      </c>
    </row>
    <row r="658" spans="2:10">
      <c r="B658" s="79" t="s">
        <v>1091</v>
      </c>
      <c r="C658" s="79" t="s">
        <v>1092</v>
      </c>
      <c r="D658" s="79"/>
      <c r="E658" s="79"/>
      <c r="F658" s="79"/>
      <c r="G658" s="79"/>
      <c r="J658" s="89" t="s">
        <v>50</v>
      </c>
    </row>
    <row r="659" spans="2:10">
      <c r="B659" s="28" t="s">
        <v>1093</v>
      </c>
      <c r="C659" s="28" t="s">
        <v>1094</v>
      </c>
      <c r="D659" s="79"/>
      <c r="E659" s="79"/>
      <c r="F659" s="79"/>
      <c r="G659" s="79"/>
      <c r="J659" s="89" t="s">
        <v>50</v>
      </c>
    </row>
    <row r="660" spans="2:10">
      <c r="B660" s="28" t="s">
        <v>1095</v>
      </c>
      <c r="C660" s="28" t="s">
        <v>649</v>
      </c>
      <c r="D660" s="79"/>
      <c r="E660" s="79"/>
      <c r="F660" s="79"/>
      <c r="G660" s="79"/>
      <c r="J660" s="89" t="s">
        <v>50</v>
      </c>
    </row>
    <row r="661" spans="2:10">
      <c r="B661" s="28" t="s">
        <v>1096</v>
      </c>
      <c r="C661" s="28" t="s">
        <v>1097</v>
      </c>
      <c r="D661" s="79"/>
      <c r="E661" s="79"/>
      <c r="F661" s="79"/>
      <c r="G661" s="79"/>
      <c r="J661" s="89" t="s">
        <v>50</v>
      </c>
    </row>
    <row r="662" spans="2:10">
      <c r="B662" s="28" t="s">
        <v>1098</v>
      </c>
      <c r="C662" s="28" t="s">
        <v>465</v>
      </c>
      <c r="D662" s="79"/>
      <c r="E662" s="79"/>
      <c r="F662" s="79"/>
      <c r="G662" s="79"/>
      <c r="J662" s="89" t="s">
        <v>50</v>
      </c>
    </row>
    <row r="663" spans="2:10">
      <c r="B663" s="28" t="s">
        <v>1099</v>
      </c>
      <c r="C663" s="28" t="s">
        <v>1100</v>
      </c>
      <c r="D663" s="79"/>
      <c r="E663" s="79"/>
      <c r="F663" s="79"/>
      <c r="G663" s="79"/>
      <c r="J663" s="89" t="s">
        <v>50</v>
      </c>
    </row>
    <row r="664" spans="2:10">
      <c r="B664" s="28" t="s">
        <v>1101</v>
      </c>
      <c r="C664" s="28" t="s">
        <v>1102</v>
      </c>
      <c r="D664" s="79"/>
      <c r="E664" s="79"/>
      <c r="F664" s="79"/>
      <c r="G664" s="79"/>
      <c r="J664" s="89" t="s">
        <v>50</v>
      </c>
    </row>
    <row r="665" spans="2:10">
      <c r="B665" s="28" t="s">
        <v>1103</v>
      </c>
      <c r="C665" s="28" t="s">
        <v>993</v>
      </c>
      <c r="D665" s="79"/>
      <c r="E665" s="79"/>
      <c r="F665" s="79"/>
      <c r="G665" s="79"/>
      <c r="J665" s="89" t="s">
        <v>50</v>
      </c>
    </row>
    <row r="666" spans="2:10">
      <c r="B666" s="28" t="s">
        <v>1104</v>
      </c>
      <c r="C666" s="28" t="s">
        <v>1105</v>
      </c>
      <c r="D666" s="79"/>
      <c r="E666" s="79"/>
      <c r="F666" s="79"/>
      <c r="G666" s="79"/>
      <c r="J666" s="89" t="s">
        <v>50</v>
      </c>
    </row>
    <row r="667" spans="2:10">
      <c r="B667" s="28" t="s">
        <v>1106</v>
      </c>
      <c r="C667" s="28" t="s">
        <v>943</v>
      </c>
      <c r="D667" s="79"/>
      <c r="E667" s="79"/>
      <c r="F667" s="79"/>
      <c r="G667" s="79"/>
      <c r="J667" s="89" t="s">
        <v>50</v>
      </c>
    </row>
    <row r="668" spans="2:10">
      <c r="B668" s="28" t="s">
        <v>1107</v>
      </c>
      <c r="C668" s="28" t="s">
        <v>1108</v>
      </c>
      <c r="D668" s="79"/>
      <c r="E668" s="79"/>
      <c r="F668" s="79"/>
      <c r="G668" s="79"/>
      <c r="J668" s="89" t="s">
        <v>50</v>
      </c>
    </row>
    <row r="669" spans="2:10">
      <c r="B669" s="28" t="s">
        <v>1109</v>
      </c>
      <c r="C669" s="28" t="s">
        <v>1110</v>
      </c>
      <c r="D669" s="79"/>
      <c r="E669" s="79"/>
      <c r="F669" s="79"/>
      <c r="G669" s="79"/>
      <c r="J669" s="89" t="s">
        <v>50</v>
      </c>
    </row>
    <row r="670" spans="2:10">
      <c r="B670" s="28" t="s">
        <v>1111</v>
      </c>
      <c r="C670" s="28" t="s">
        <v>1112</v>
      </c>
      <c r="D670" s="79"/>
      <c r="E670" s="79"/>
      <c r="F670" s="79"/>
      <c r="G670" s="79"/>
      <c r="J670" s="89" t="s">
        <v>50</v>
      </c>
    </row>
    <row r="671" spans="2:10">
      <c r="B671" s="28" t="s">
        <v>1113</v>
      </c>
      <c r="C671" s="28" t="s">
        <v>1114</v>
      </c>
      <c r="D671" s="79"/>
      <c r="E671" s="79"/>
      <c r="F671" s="79"/>
      <c r="G671" s="79"/>
      <c r="J671" s="89" t="s">
        <v>50</v>
      </c>
    </row>
    <row r="672" spans="2:10">
      <c r="B672" s="95" t="s">
        <v>1115</v>
      </c>
      <c r="C672" s="28" t="s">
        <v>1075</v>
      </c>
      <c r="D672" s="79"/>
      <c r="E672" s="79"/>
      <c r="F672" s="79"/>
      <c r="G672" s="79"/>
      <c r="J672" s="89" t="s">
        <v>50</v>
      </c>
    </row>
    <row r="673" spans="2:10">
      <c r="B673" s="28" t="s">
        <v>1116</v>
      </c>
      <c r="C673" s="28" t="s">
        <v>1117</v>
      </c>
      <c r="D673" s="79"/>
      <c r="E673" s="79"/>
      <c r="F673" s="79"/>
      <c r="G673" s="79"/>
      <c r="J673" s="89" t="s">
        <v>50</v>
      </c>
    </row>
    <row r="674" spans="2:10">
      <c r="B674" s="28" t="s">
        <v>1118</v>
      </c>
      <c r="C674" s="28" t="s">
        <v>866</v>
      </c>
      <c r="D674" s="79"/>
      <c r="E674" s="79"/>
      <c r="F674" s="79"/>
      <c r="G674" s="79"/>
      <c r="J674" s="89" t="s">
        <v>50</v>
      </c>
    </row>
    <row r="675" spans="2:10">
      <c r="B675" s="28" t="s">
        <v>1119</v>
      </c>
      <c r="C675" s="28" t="s">
        <v>1120</v>
      </c>
      <c r="D675" s="79"/>
      <c r="E675" s="79"/>
      <c r="F675" s="79"/>
      <c r="G675" s="79"/>
      <c r="J675" s="89" t="s">
        <v>50</v>
      </c>
    </row>
    <row r="676" spans="2:10">
      <c r="B676" s="28" t="s">
        <v>1121</v>
      </c>
      <c r="C676" s="28" t="s">
        <v>1122</v>
      </c>
      <c r="D676" s="79"/>
      <c r="E676" s="79"/>
      <c r="F676" s="79"/>
      <c r="G676" s="79"/>
      <c r="J676" s="89" t="s">
        <v>50</v>
      </c>
    </row>
    <row r="677" spans="2:10">
      <c r="B677" s="28" t="s">
        <v>1123</v>
      </c>
      <c r="C677" s="28" t="s">
        <v>1124</v>
      </c>
      <c r="D677" s="79"/>
      <c r="E677" s="79"/>
      <c r="F677" s="79"/>
      <c r="G677" s="79"/>
      <c r="J677" s="89" t="s">
        <v>50</v>
      </c>
    </row>
    <row r="678" spans="2:10">
      <c r="B678" s="28" t="s">
        <v>1125</v>
      </c>
      <c r="C678" s="28" t="s">
        <v>1120</v>
      </c>
      <c r="D678" s="79"/>
      <c r="E678" s="79"/>
      <c r="F678" s="79"/>
      <c r="G678" s="79"/>
      <c r="J678" s="89" t="s">
        <v>50</v>
      </c>
    </row>
    <row r="679" spans="2:10">
      <c r="B679" s="28" t="s">
        <v>1126</v>
      </c>
      <c r="C679" s="28" t="s">
        <v>1127</v>
      </c>
      <c r="D679" s="79"/>
      <c r="E679" s="79"/>
      <c r="F679" s="79"/>
      <c r="G679" s="79"/>
      <c r="J679" s="89" t="s">
        <v>50</v>
      </c>
    </row>
    <row r="680" spans="2:10">
      <c r="B680" s="28" t="s">
        <v>1128</v>
      </c>
      <c r="C680" s="28" t="s">
        <v>1120</v>
      </c>
      <c r="D680" s="79"/>
      <c r="E680" s="79"/>
      <c r="F680" s="79"/>
      <c r="G680" s="79"/>
      <c r="J680" s="89" t="s">
        <v>50</v>
      </c>
    </row>
    <row r="681" spans="2:10">
      <c r="B681" s="28" t="s">
        <v>1129</v>
      </c>
      <c r="C681" s="28" t="s">
        <v>1130</v>
      </c>
      <c r="D681" s="79"/>
      <c r="E681" s="79"/>
      <c r="F681" s="79"/>
      <c r="G681" s="79"/>
      <c r="J681" s="89" t="s">
        <v>50</v>
      </c>
    </row>
    <row r="682" spans="2:10">
      <c r="B682" s="28" t="s">
        <v>1131</v>
      </c>
      <c r="C682" s="28" t="s">
        <v>1132</v>
      </c>
      <c r="D682" s="79"/>
      <c r="E682" s="79"/>
      <c r="F682" s="79"/>
      <c r="G682" s="79"/>
      <c r="J682" s="89" t="s">
        <v>50</v>
      </c>
    </row>
    <row r="683" spans="2:10">
      <c r="B683" s="28" t="s">
        <v>1133</v>
      </c>
      <c r="C683" s="28" t="s">
        <v>1134</v>
      </c>
      <c r="D683" s="79"/>
      <c r="E683" s="79"/>
      <c r="F683" s="79"/>
      <c r="G683" s="79"/>
      <c r="J683" s="89" t="s">
        <v>50</v>
      </c>
    </row>
    <row r="684" spans="2:10">
      <c r="B684" s="28" t="s">
        <v>1135</v>
      </c>
      <c r="C684" s="28" t="s">
        <v>1120</v>
      </c>
      <c r="D684" s="79"/>
      <c r="E684" s="79"/>
      <c r="F684" s="79"/>
      <c r="G684" s="79"/>
      <c r="J684" s="89" t="s">
        <v>50</v>
      </c>
    </row>
    <row r="685" spans="2:10">
      <c r="B685" s="28" t="s">
        <v>1136</v>
      </c>
      <c r="C685" s="28" t="s">
        <v>1120</v>
      </c>
      <c r="D685" s="79"/>
      <c r="E685" s="79"/>
      <c r="F685" s="79"/>
      <c r="G685" s="79"/>
      <c r="J685" s="89" t="s">
        <v>50</v>
      </c>
    </row>
    <row r="686" spans="2:10">
      <c r="B686" s="28" t="s">
        <v>1137</v>
      </c>
      <c r="C686" s="28" t="s">
        <v>1138</v>
      </c>
      <c r="D686" s="79"/>
      <c r="E686" s="79"/>
      <c r="F686" s="79"/>
      <c r="G686" s="79"/>
      <c r="J686" s="89" t="s">
        <v>50</v>
      </c>
    </row>
    <row r="687" spans="2:10">
      <c r="B687" s="79" t="s">
        <v>1139</v>
      </c>
      <c r="C687" s="79" t="s">
        <v>1140</v>
      </c>
      <c r="D687" s="79"/>
      <c r="E687" s="79"/>
      <c r="F687" s="79"/>
      <c r="G687" s="79"/>
      <c r="J687" s="89" t="s">
        <v>50</v>
      </c>
    </row>
    <row r="688" spans="2:10">
      <c r="B688" s="28" t="s">
        <v>1141</v>
      </c>
      <c r="C688" s="28" t="s">
        <v>1142</v>
      </c>
      <c r="D688" s="79"/>
      <c r="E688" s="79"/>
      <c r="F688" s="79"/>
      <c r="G688" s="79"/>
      <c r="J688" s="89" t="s">
        <v>50</v>
      </c>
    </row>
    <row r="689" spans="2:10">
      <c r="B689" s="79" t="s">
        <v>1143</v>
      </c>
      <c r="C689" s="79" t="s">
        <v>1144</v>
      </c>
      <c r="D689" s="79"/>
      <c r="E689" s="79"/>
      <c r="F689" s="79"/>
      <c r="G689" s="79"/>
      <c r="J689" s="89" t="s">
        <v>50</v>
      </c>
    </row>
    <row r="690" spans="2:10">
      <c r="B690" s="28" t="s">
        <v>1145</v>
      </c>
      <c r="C690" s="28" t="s">
        <v>1146</v>
      </c>
      <c r="D690" s="79"/>
      <c r="E690" s="79"/>
      <c r="F690" s="79"/>
      <c r="G690" s="79"/>
      <c r="J690" s="89" t="s">
        <v>50</v>
      </c>
    </row>
    <row r="691" spans="2:10">
      <c r="B691" s="28" t="s">
        <v>1147</v>
      </c>
      <c r="C691" s="28" t="s">
        <v>1148</v>
      </c>
      <c r="D691" s="79"/>
      <c r="E691" s="79"/>
      <c r="F691" s="79"/>
      <c r="G691" s="79"/>
      <c r="J691" s="89" t="s">
        <v>50</v>
      </c>
    </row>
    <row r="692" spans="2:10">
      <c r="B692" s="28" t="s">
        <v>1149</v>
      </c>
      <c r="C692" s="28" t="s">
        <v>1150</v>
      </c>
      <c r="D692" s="79"/>
      <c r="E692" s="79"/>
      <c r="F692" s="79"/>
      <c r="G692" s="79"/>
      <c r="J692" s="89" t="s">
        <v>50</v>
      </c>
    </row>
    <row r="693" spans="2:10">
      <c r="B693" s="28" t="s">
        <v>1151</v>
      </c>
      <c r="C693" s="28" t="s">
        <v>1152</v>
      </c>
      <c r="D693" s="79"/>
      <c r="E693" s="79"/>
      <c r="F693" s="79"/>
      <c r="G693" s="79"/>
      <c r="J693" s="89" t="s">
        <v>50</v>
      </c>
    </row>
    <row r="694" spans="2:10">
      <c r="B694" s="28" t="s">
        <v>1153</v>
      </c>
      <c r="C694" s="28" t="s">
        <v>1154</v>
      </c>
      <c r="J694" s="89" t="s">
        <v>50</v>
      </c>
    </row>
    <row r="695" spans="2:10">
      <c r="B695" s="28" t="s">
        <v>1155</v>
      </c>
      <c r="C695" s="28" t="s">
        <v>757</v>
      </c>
      <c r="J695" s="89" t="s">
        <v>50</v>
      </c>
    </row>
    <row r="696" spans="2:10">
      <c r="B696" s="28" t="s">
        <v>1156</v>
      </c>
      <c r="C696" s="28" t="s">
        <v>1157</v>
      </c>
      <c r="J696" s="89" t="s">
        <v>50</v>
      </c>
    </row>
    <row r="697" spans="2:10">
      <c r="B697" s="28" t="s">
        <v>1158</v>
      </c>
      <c r="C697" s="28" t="s">
        <v>1159</v>
      </c>
      <c r="J697" s="89" t="s">
        <v>50</v>
      </c>
    </row>
    <row r="698" spans="2:10">
      <c r="B698" s="28" t="s">
        <v>1160</v>
      </c>
      <c r="C698" s="28" t="s">
        <v>904</v>
      </c>
      <c r="J698" s="89" t="s">
        <v>50</v>
      </c>
    </row>
    <row r="699" spans="2:10">
      <c r="B699" s="28" t="s">
        <v>1161</v>
      </c>
      <c r="C699" s="28" t="s">
        <v>1162</v>
      </c>
      <c r="J699" s="89" t="s">
        <v>50</v>
      </c>
    </row>
    <row r="700" spans="2:10">
      <c r="J700" s="89" t="s">
        <v>50</v>
      </c>
    </row>
  </sheetData>
  <autoFilter xmlns:etc="http://www.wps.cn/officeDocument/2017/etCustomData" ref="A1:J700" etc:filterBottomFollowUsedRange="0">
    <extLst/>
  </autoFilter>
  <sortState ref="A418:V556">
    <sortCondition ref="B606"/>
  </sortState>
  <mergeCells count="21">
    <mergeCell ref="E1:G1"/>
    <mergeCell ref="A3:I3"/>
    <mergeCell ref="A15:I15"/>
    <mergeCell ref="A31:I31"/>
    <mergeCell ref="A48:I48"/>
    <mergeCell ref="A78:I78"/>
    <mergeCell ref="A217:I217"/>
    <mergeCell ref="A250:I250"/>
    <mergeCell ref="A288:I288"/>
    <mergeCell ref="A358:I358"/>
    <mergeCell ref="A417:I417"/>
    <mergeCell ref="A557:I557"/>
    <mergeCell ref="A604:I604"/>
    <mergeCell ref="A1:A2"/>
    <mergeCell ref="B1:B2"/>
    <mergeCell ref="C1:C2"/>
    <mergeCell ref="D1:D2"/>
    <mergeCell ref="H1:H2"/>
    <mergeCell ref="I1:I2"/>
    <mergeCell ref="J1:J2"/>
    <mergeCell ref="L1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"/>
  <sheetViews>
    <sheetView zoomScale="85" zoomScaleNormal="85" workbookViewId="0">
      <selection activeCell="D95" sqref="D95"/>
    </sheetView>
  </sheetViews>
  <sheetFormatPr defaultColWidth="8.88888888888889" defaultRowHeight="14.4"/>
  <cols>
    <col min="1" max="1" width="12.212962962963" style="1" customWidth="1"/>
    <col min="2" max="2" width="36.6666666666667" style="1" customWidth="1"/>
    <col min="3" max="3" width="61.4444444444444" style="1" customWidth="1"/>
    <col min="4" max="4" width="8.66666666666667" style="1" customWidth="1"/>
    <col min="5" max="5" width="6.91666666666667" style="1" customWidth="1"/>
    <col min="6" max="6" width="10.3240740740741" style="1" customWidth="1"/>
    <col min="7" max="7" width="9.92592592592593" style="1" customWidth="1"/>
    <col min="8" max="8" width="24.3148148148148" style="1" customWidth="1"/>
    <col min="9" max="9" width="37.5277777777778" style="1" customWidth="1"/>
    <col min="10" max="10" width="19.25" style="1" customWidth="1"/>
    <col min="11" max="16384" width="8.88888888888889" style="1"/>
  </cols>
  <sheetData>
    <row r="1" s="1" customFormat="1" ht="15" customHeight="1" spans="1:10">
      <c r="A1" s="73" t="s">
        <v>0</v>
      </c>
      <c r="B1" s="74" t="s">
        <v>1</v>
      </c>
      <c r="C1" s="74" t="s">
        <v>2</v>
      </c>
      <c r="D1" s="75" t="s">
        <v>3</v>
      </c>
      <c r="E1" s="75" t="s">
        <v>4</v>
      </c>
      <c r="F1" s="75"/>
      <c r="G1" s="75"/>
      <c r="H1" s="75" t="s">
        <v>1163</v>
      </c>
      <c r="I1" s="76" t="s">
        <v>1164</v>
      </c>
      <c r="J1" s="75" t="s">
        <v>6</v>
      </c>
    </row>
    <row r="2" s="1" customFormat="1" ht="20" customHeight="1" spans="1:10">
      <c r="E2" s="75" t="s">
        <v>9</v>
      </c>
      <c r="F2" s="75" t="s">
        <v>10</v>
      </c>
      <c r="G2" s="75" t="s">
        <v>11</v>
      </c>
    </row>
    <row r="3" s="72" customFormat="1" spans="1:10">
      <c r="A3" s="1">
        <v>990000001</v>
      </c>
      <c r="B3" s="1" t="s">
        <v>1165</v>
      </c>
      <c r="C3" s="1" t="s">
        <v>1166</v>
      </c>
      <c r="D3" s="1">
        <v>140</v>
      </c>
      <c r="E3" s="1">
        <v>2</v>
      </c>
      <c r="F3" s="1">
        <v>5</v>
      </c>
      <c r="G3" s="1">
        <v>8</v>
      </c>
      <c r="H3" s="1" t="s">
        <v>1167</v>
      </c>
      <c r="I3" s="1" t="s">
        <v>24</v>
      </c>
      <c r="J3" s="1" t="s">
        <v>24</v>
      </c>
    </row>
    <row r="4" s="72" customFormat="1" spans="1:10">
      <c r="A4" s="1">
        <v>990000002</v>
      </c>
      <c r="B4" s="1" t="s">
        <v>1168</v>
      </c>
      <c r="C4" s="1" t="s">
        <v>1169</v>
      </c>
      <c r="D4" s="1">
        <v>175</v>
      </c>
      <c r="E4" s="1">
        <v>3</v>
      </c>
      <c r="F4" s="1">
        <v>6</v>
      </c>
      <c r="G4" s="1">
        <v>9.3</v>
      </c>
      <c r="H4" s="1" t="s">
        <v>1167</v>
      </c>
      <c r="I4" s="1" t="s">
        <v>24</v>
      </c>
      <c r="J4" s="1" t="s">
        <v>24</v>
      </c>
    </row>
    <row r="5" s="72" customFormat="1" spans="1:10">
      <c r="A5" s="1">
        <v>990000003</v>
      </c>
      <c r="B5" s="1" t="s">
        <v>1170</v>
      </c>
      <c r="C5" s="1" t="s">
        <v>1171</v>
      </c>
      <c r="D5" s="1">
        <v>170</v>
      </c>
      <c r="E5" s="1">
        <v>4</v>
      </c>
      <c r="F5" s="1">
        <v>7</v>
      </c>
      <c r="G5" s="1">
        <v>9.8</v>
      </c>
      <c r="H5" s="1" t="s">
        <v>1167</v>
      </c>
      <c r="I5" s="1" t="s">
        <v>24</v>
      </c>
      <c r="J5" s="1" t="s">
        <v>24</v>
      </c>
    </row>
    <row r="6" s="72" customFormat="1" spans="1:10">
      <c r="A6" s="1">
        <v>990000004</v>
      </c>
      <c r="B6" s="1" t="s">
        <v>1172</v>
      </c>
      <c r="C6" s="1" t="s">
        <v>1173</v>
      </c>
      <c r="D6" s="1">
        <v>180</v>
      </c>
      <c r="E6" s="1">
        <v>2</v>
      </c>
      <c r="F6" s="1">
        <v>5</v>
      </c>
      <c r="G6" s="1">
        <v>8</v>
      </c>
      <c r="H6" s="1" t="s">
        <v>1167</v>
      </c>
      <c r="I6" s="1" t="s">
        <v>24</v>
      </c>
      <c r="J6" s="1" t="s">
        <v>24</v>
      </c>
    </row>
    <row r="7" s="72" customFormat="1" spans="1:10">
      <c r="A7" s="1">
        <v>990000005</v>
      </c>
      <c r="B7" s="1" t="s">
        <v>1174</v>
      </c>
      <c r="C7" s="1" t="s">
        <v>1169</v>
      </c>
      <c r="D7" s="1">
        <v>187</v>
      </c>
      <c r="E7" s="1">
        <v>4</v>
      </c>
      <c r="F7" s="1">
        <v>7</v>
      </c>
      <c r="G7" s="1">
        <v>10.4</v>
      </c>
      <c r="H7" s="1" t="s">
        <v>1167</v>
      </c>
      <c r="I7" s="1" t="s">
        <v>24</v>
      </c>
      <c r="J7" s="1" t="s">
        <v>410</v>
      </c>
    </row>
    <row r="8" s="72" customFormat="1" spans="1:10">
      <c r="A8" s="1">
        <v>990000006</v>
      </c>
      <c r="B8" s="1" t="s">
        <v>1175</v>
      </c>
      <c r="C8" s="1" t="s">
        <v>1171</v>
      </c>
      <c r="D8" s="1">
        <v>135</v>
      </c>
      <c r="E8" s="1">
        <v>3</v>
      </c>
      <c r="F8" s="1">
        <v>7</v>
      </c>
      <c r="G8" s="1">
        <v>10.3</v>
      </c>
      <c r="H8" s="1" t="s">
        <v>1167</v>
      </c>
      <c r="I8" s="1" t="s">
        <v>24</v>
      </c>
      <c r="J8" s="1" t="s">
        <v>148</v>
      </c>
    </row>
    <row r="9" s="72" customFormat="1" spans="1:10">
      <c r="A9" s="1">
        <v>990000007</v>
      </c>
      <c r="B9" s="1" t="s">
        <v>1176</v>
      </c>
      <c r="C9" s="1" t="s">
        <v>1177</v>
      </c>
      <c r="D9" s="1">
        <v>160</v>
      </c>
      <c r="E9" s="1">
        <v>3</v>
      </c>
      <c r="F9" s="1">
        <v>6</v>
      </c>
      <c r="G9" s="1">
        <v>9.4</v>
      </c>
      <c r="H9" s="1" t="s">
        <v>1167</v>
      </c>
      <c r="I9" s="1" t="s">
        <v>24</v>
      </c>
      <c r="J9" s="1" t="s">
        <v>45</v>
      </c>
    </row>
    <row r="10" s="72" customFormat="1" spans="1:10">
      <c r="A10" s="1">
        <v>990000008</v>
      </c>
      <c r="B10" s="1" t="s">
        <v>1178</v>
      </c>
      <c r="C10" s="1" t="s">
        <v>1179</v>
      </c>
      <c r="D10" s="1">
        <v>184</v>
      </c>
      <c r="E10" s="1">
        <v>3</v>
      </c>
      <c r="F10" s="1">
        <v>7</v>
      </c>
      <c r="G10" s="1">
        <v>9.5</v>
      </c>
      <c r="H10" s="1" t="s">
        <v>1167</v>
      </c>
      <c r="I10" s="1" t="s">
        <v>24</v>
      </c>
      <c r="J10" s="1" t="s">
        <v>95</v>
      </c>
    </row>
    <row r="11" s="72" customFormat="1" spans="1:10">
      <c r="A11" s="1">
        <v>990000009</v>
      </c>
      <c r="B11" s="1" t="s">
        <v>1180</v>
      </c>
      <c r="C11" s="1" t="s">
        <v>1181</v>
      </c>
      <c r="D11" s="1">
        <v>255</v>
      </c>
      <c r="E11" s="1">
        <v>3</v>
      </c>
      <c r="F11" s="1">
        <v>6</v>
      </c>
      <c r="G11" s="1">
        <v>9.2</v>
      </c>
      <c r="H11" s="1" t="s">
        <v>1167</v>
      </c>
      <c r="I11" s="1" t="s">
        <v>24</v>
      </c>
      <c r="J11" s="1" t="s">
        <v>148</v>
      </c>
    </row>
    <row r="12" s="72" customFormat="1" spans="1:10">
      <c r="A12" s="1">
        <v>990000010</v>
      </c>
      <c r="B12" s="1" t="s">
        <v>1182</v>
      </c>
      <c r="C12" s="1" t="s">
        <v>1183</v>
      </c>
      <c r="D12" s="1">
        <v>170</v>
      </c>
      <c r="E12" s="1">
        <v>2</v>
      </c>
      <c r="F12" s="1">
        <v>5</v>
      </c>
      <c r="G12" s="1">
        <v>7</v>
      </c>
      <c r="H12" s="1" t="s">
        <v>1167</v>
      </c>
      <c r="I12" s="1" t="s">
        <v>24</v>
      </c>
      <c r="J12" s="1" t="s">
        <v>66</v>
      </c>
    </row>
    <row r="13" s="72" customFormat="1" spans="1:10">
      <c r="A13" s="1">
        <v>990000011</v>
      </c>
      <c r="B13" s="1" t="s">
        <v>1184</v>
      </c>
      <c r="C13" s="1" t="s">
        <v>1179</v>
      </c>
      <c r="D13" s="1">
        <v>145</v>
      </c>
      <c r="E13" s="1">
        <v>3</v>
      </c>
      <c r="F13" s="1">
        <v>7</v>
      </c>
      <c r="G13" s="1">
        <v>9.4</v>
      </c>
      <c r="H13" s="1" t="s">
        <v>1167</v>
      </c>
      <c r="I13" s="1" t="s">
        <v>24</v>
      </c>
      <c r="J13" s="1" t="s">
        <v>633</v>
      </c>
    </row>
    <row r="14" s="72" customFormat="1" spans="1:10">
      <c r="A14" s="1">
        <v>990000012</v>
      </c>
      <c r="B14" s="1" t="s">
        <v>1185</v>
      </c>
      <c r="C14" s="1" t="s">
        <v>1183</v>
      </c>
      <c r="D14" s="1">
        <v>190</v>
      </c>
      <c r="E14" s="1">
        <v>5</v>
      </c>
      <c r="F14" s="1">
        <v>9.2</v>
      </c>
      <c r="G14" s="1">
        <v>10.6</v>
      </c>
      <c r="H14" s="1" t="s">
        <v>1167</v>
      </c>
      <c r="I14" s="1" t="s">
        <v>24</v>
      </c>
      <c r="J14" s="1" t="s">
        <v>433</v>
      </c>
    </row>
    <row r="15" s="72" customFormat="1" spans="1:10">
      <c r="A15" s="1">
        <v>990000013</v>
      </c>
      <c r="B15" s="1" t="s">
        <v>1186</v>
      </c>
      <c r="C15" s="1" t="s">
        <v>1187</v>
      </c>
      <c r="D15" s="1">
        <v>152</v>
      </c>
      <c r="E15" s="1">
        <v>3</v>
      </c>
      <c r="F15" s="1">
        <v>7</v>
      </c>
      <c r="G15" s="1">
        <v>9.6</v>
      </c>
      <c r="H15" s="1" t="s">
        <v>1188</v>
      </c>
      <c r="I15" s="1" t="s">
        <v>1189</v>
      </c>
      <c r="J15" s="1" t="s">
        <v>433</v>
      </c>
    </row>
    <row r="16" s="72" customFormat="1" spans="1:10">
      <c r="A16" s="1">
        <v>990000014</v>
      </c>
      <c r="B16" s="1" t="s">
        <v>1190</v>
      </c>
      <c r="C16" s="1" t="s">
        <v>812</v>
      </c>
      <c r="D16" s="1" t="s">
        <v>1191</v>
      </c>
      <c r="E16" s="1">
        <v>6</v>
      </c>
      <c r="F16" s="1">
        <v>9.5</v>
      </c>
      <c r="G16" s="1">
        <v>10.7</v>
      </c>
      <c r="H16" s="1" t="s">
        <v>1188</v>
      </c>
      <c r="I16" s="1" t="s">
        <v>1192</v>
      </c>
      <c r="J16" s="1" t="s">
        <v>490</v>
      </c>
    </row>
    <row r="17" s="72" customFormat="1" spans="1:10">
      <c r="A17" s="1">
        <v>990000015</v>
      </c>
      <c r="B17" s="1" t="s">
        <v>1193</v>
      </c>
      <c r="C17" s="1" t="s">
        <v>526</v>
      </c>
      <c r="D17" s="1">
        <v>150</v>
      </c>
      <c r="E17" s="1">
        <v>2</v>
      </c>
      <c r="F17" s="1">
        <v>8</v>
      </c>
      <c r="G17" s="1">
        <v>10.2</v>
      </c>
      <c r="H17" s="1" t="s">
        <v>1188</v>
      </c>
      <c r="I17" s="1" t="s">
        <v>1194</v>
      </c>
      <c r="J17" s="1" t="s">
        <v>490</v>
      </c>
    </row>
    <row r="18" s="72" customFormat="1" spans="1:10">
      <c r="A18" s="1">
        <v>990000016</v>
      </c>
      <c r="B18" s="1" t="s">
        <v>1195</v>
      </c>
      <c r="C18" s="1" t="s">
        <v>1196</v>
      </c>
      <c r="D18" s="1">
        <v>242</v>
      </c>
      <c r="E18" s="1">
        <v>4</v>
      </c>
      <c r="F18" s="1">
        <v>9.3</v>
      </c>
      <c r="G18" s="1">
        <v>10.3</v>
      </c>
      <c r="H18" s="1" t="s">
        <v>1188</v>
      </c>
      <c r="I18" s="1" t="s">
        <v>1197</v>
      </c>
      <c r="J18" s="1" t="s">
        <v>633</v>
      </c>
    </row>
    <row r="19" s="72" customFormat="1" spans="1:10">
      <c r="A19" s="1">
        <v>990000017</v>
      </c>
      <c r="B19" s="1" t="s">
        <v>1198</v>
      </c>
      <c r="C19" s="1" t="s">
        <v>1199</v>
      </c>
      <c r="D19" s="1">
        <v>165</v>
      </c>
      <c r="E19" s="1">
        <v>3</v>
      </c>
      <c r="F19" s="1">
        <v>7</v>
      </c>
      <c r="G19" s="1">
        <v>9.3</v>
      </c>
      <c r="H19" s="1" t="s">
        <v>1167</v>
      </c>
      <c r="I19" s="1" t="s">
        <v>24</v>
      </c>
      <c r="J19" s="1" t="s">
        <v>400</v>
      </c>
    </row>
    <row r="20" s="72" customFormat="1" spans="1:10">
      <c r="A20" s="1">
        <v>990000018</v>
      </c>
      <c r="B20" s="1" t="s">
        <v>1200</v>
      </c>
      <c r="C20" s="1" t="s">
        <v>1201</v>
      </c>
      <c r="D20" s="1">
        <v>222</v>
      </c>
      <c r="E20" s="1">
        <v>4</v>
      </c>
      <c r="F20" s="1">
        <v>8</v>
      </c>
      <c r="G20" s="1">
        <v>10.6</v>
      </c>
      <c r="H20" s="1" t="s">
        <v>1188</v>
      </c>
      <c r="I20" s="1" t="s">
        <v>1197</v>
      </c>
      <c r="J20" s="1" t="s">
        <v>349</v>
      </c>
    </row>
    <row r="21" s="72" customFormat="1" spans="1:10">
      <c r="A21" s="1">
        <v>990000020</v>
      </c>
      <c r="B21" s="1" t="s">
        <v>1202</v>
      </c>
      <c r="C21" s="1" t="s">
        <v>1203</v>
      </c>
      <c r="D21" s="1">
        <v>195</v>
      </c>
      <c r="E21" s="1">
        <v>5</v>
      </c>
      <c r="F21" s="1">
        <v>8</v>
      </c>
      <c r="G21" s="1">
        <v>10.4</v>
      </c>
      <c r="H21" s="1" t="s">
        <v>1188</v>
      </c>
      <c r="I21" s="1" t="s">
        <v>1197</v>
      </c>
      <c r="J21" s="1" t="s">
        <v>410</v>
      </c>
    </row>
    <row r="22" s="72" customFormat="1" spans="1:10">
      <c r="A22" s="1">
        <v>990000021</v>
      </c>
      <c r="B22" s="1" t="s">
        <v>1204</v>
      </c>
      <c r="C22" s="1" t="s">
        <v>1171</v>
      </c>
      <c r="D22" s="1">
        <v>155</v>
      </c>
      <c r="E22" s="1">
        <v>4</v>
      </c>
      <c r="F22" s="1">
        <v>7</v>
      </c>
      <c r="G22" s="1">
        <v>10.3</v>
      </c>
      <c r="H22" s="1" t="s">
        <v>1167</v>
      </c>
      <c r="I22" s="1" t="s">
        <v>1205</v>
      </c>
      <c r="J22" s="1" t="s">
        <v>124</v>
      </c>
    </row>
    <row r="23" s="72" customFormat="1" spans="1:10">
      <c r="A23" s="1">
        <v>990000023</v>
      </c>
      <c r="B23" s="1" t="s">
        <v>1206</v>
      </c>
      <c r="C23" s="1" t="s">
        <v>655</v>
      </c>
      <c r="D23" s="1">
        <v>134</v>
      </c>
      <c r="E23" s="1">
        <v>3</v>
      </c>
      <c r="F23" s="1">
        <v>6</v>
      </c>
      <c r="G23" s="1">
        <v>8</v>
      </c>
      <c r="H23" s="1" t="s">
        <v>1188</v>
      </c>
      <c r="I23" s="1" t="s">
        <v>1207</v>
      </c>
      <c r="J23" s="1" t="s">
        <v>494</v>
      </c>
    </row>
    <row r="24" s="72" customFormat="1" spans="1:10">
      <c r="A24" s="1">
        <v>990000024</v>
      </c>
      <c r="B24" s="1" t="s">
        <v>1208</v>
      </c>
      <c r="C24" s="1" t="s">
        <v>792</v>
      </c>
      <c r="D24" s="1">
        <v>160</v>
      </c>
      <c r="E24" s="1">
        <v>4</v>
      </c>
      <c r="F24" s="1">
        <v>8</v>
      </c>
      <c r="G24" s="1">
        <v>10.2</v>
      </c>
      <c r="H24" s="1" t="s">
        <v>1188</v>
      </c>
      <c r="I24" s="1" t="s">
        <v>1209</v>
      </c>
      <c r="J24" s="1" t="s">
        <v>394</v>
      </c>
    </row>
    <row r="25" s="72" customFormat="1" spans="1:10">
      <c r="A25" s="1">
        <v>990000025</v>
      </c>
      <c r="B25" s="1" t="s">
        <v>1210</v>
      </c>
      <c r="C25" s="1" t="s">
        <v>224</v>
      </c>
      <c r="D25" s="1">
        <v>110</v>
      </c>
      <c r="E25" s="1">
        <v>4</v>
      </c>
      <c r="F25" s="1">
        <v>7</v>
      </c>
      <c r="G25" s="1">
        <v>9.8</v>
      </c>
      <c r="H25" s="1" t="s">
        <v>1188</v>
      </c>
      <c r="I25" s="1" t="s">
        <v>1194</v>
      </c>
      <c r="J25" s="1" t="s">
        <v>349</v>
      </c>
    </row>
    <row r="26" s="72" customFormat="1" spans="1:10">
      <c r="A26" s="1">
        <v>990000027</v>
      </c>
      <c r="B26" s="1" t="s">
        <v>1211</v>
      </c>
      <c r="C26" s="1" t="s">
        <v>35</v>
      </c>
      <c r="D26" s="1">
        <v>150</v>
      </c>
      <c r="E26" s="1">
        <v>3</v>
      </c>
      <c r="F26" s="1">
        <v>8</v>
      </c>
      <c r="G26" s="1">
        <v>10.4</v>
      </c>
      <c r="H26" s="1" t="s">
        <v>1188</v>
      </c>
      <c r="I26" s="1" t="s">
        <v>1212</v>
      </c>
      <c r="J26" s="1" t="s">
        <v>180</v>
      </c>
    </row>
    <row r="27" s="72" customFormat="1" spans="1:10">
      <c r="A27" s="1">
        <v>990000028</v>
      </c>
      <c r="B27" s="1" t="s">
        <v>1213</v>
      </c>
      <c r="C27" s="1" t="s">
        <v>90</v>
      </c>
      <c r="D27" s="1">
        <v>165</v>
      </c>
      <c r="E27" s="1">
        <v>3</v>
      </c>
      <c r="F27" s="1">
        <v>7</v>
      </c>
      <c r="G27" s="1">
        <v>9.4</v>
      </c>
      <c r="H27" s="1" t="s">
        <v>1188</v>
      </c>
      <c r="I27" s="1" t="s">
        <v>1194</v>
      </c>
      <c r="J27" s="1" t="s">
        <v>180</v>
      </c>
    </row>
    <row r="28" s="72" customFormat="1" spans="1:10">
      <c r="A28" s="1">
        <v>990000032</v>
      </c>
      <c r="B28" s="1" t="s">
        <v>1214</v>
      </c>
      <c r="C28" s="1" t="s">
        <v>1215</v>
      </c>
      <c r="D28" s="1">
        <v>206</v>
      </c>
      <c r="E28" s="1">
        <v>7</v>
      </c>
      <c r="F28" s="1">
        <v>10.2</v>
      </c>
      <c r="G28" s="1">
        <v>10.9</v>
      </c>
      <c r="H28" s="1" t="s">
        <v>1167</v>
      </c>
      <c r="I28" s="1" t="s">
        <v>1205</v>
      </c>
      <c r="J28" s="1" t="s">
        <v>577</v>
      </c>
    </row>
    <row r="29" s="72" customFormat="1" spans="1:10">
      <c r="A29" s="1">
        <v>990000033</v>
      </c>
      <c r="B29" s="1" t="s">
        <v>1216</v>
      </c>
      <c r="C29" s="1" t="s">
        <v>1217</v>
      </c>
      <c r="D29" s="1">
        <v>220</v>
      </c>
      <c r="E29" s="1">
        <v>5</v>
      </c>
      <c r="F29" s="1">
        <v>8</v>
      </c>
      <c r="G29" s="1">
        <v>9.8</v>
      </c>
      <c r="H29" s="1" t="s">
        <v>1167</v>
      </c>
      <c r="I29" s="1" t="s">
        <v>24</v>
      </c>
      <c r="J29" s="1" t="s">
        <v>124</v>
      </c>
    </row>
    <row r="30" s="72" customFormat="1" spans="1:10">
      <c r="A30" s="1">
        <v>990000034</v>
      </c>
      <c r="B30" s="1" t="s">
        <v>1218</v>
      </c>
      <c r="C30" s="1" t="s">
        <v>1177</v>
      </c>
      <c r="D30" s="1">
        <v>190</v>
      </c>
      <c r="E30" s="1">
        <v>4</v>
      </c>
      <c r="F30" s="1">
        <v>7</v>
      </c>
      <c r="G30" s="1">
        <v>10.1</v>
      </c>
      <c r="H30" s="1" t="s">
        <v>1167</v>
      </c>
      <c r="I30" s="1" t="s">
        <v>24</v>
      </c>
      <c r="J30" s="1" t="s">
        <v>577</v>
      </c>
    </row>
    <row r="31" s="1" customFormat="1" spans="1:10">
      <c r="A31" s="1">
        <v>990000035</v>
      </c>
      <c r="B31" s="1" t="s">
        <v>1219</v>
      </c>
      <c r="C31" s="1" t="s">
        <v>381</v>
      </c>
      <c r="D31" s="1">
        <v>164</v>
      </c>
      <c r="E31" s="1">
        <v>5</v>
      </c>
      <c r="F31" s="1">
        <v>9.3</v>
      </c>
      <c r="G31" s="1">
        <v>10.7</v>
      </c>
      <c r="H31" s="1" t="s">
        <v>1188</v>
      </c>
      <c r="I31" s="1" t="s">
        <v>1220</v>
      </c>
      <c r="J31" s="1" t="s">
        <v>400</v>
      </c>
    </row>
    <row r="32" s="1" customFormat="1" spans="1:10">
      <c r="A32" s="1">
        <v>990000042</v>
      </c>
      <c r="B32" s="1" t="s">
        <v>1221</v>
      </c>
      <c r="C32" s="1" t="s">
        <v>1222</v>
      </c>
      <c r="D32" s="1">
        <v>180</v>
      </c>
      <c r="E32" s="1">
        <v>3</v>
      </c>
      <c r="F32" s="1">
        <v>7</v>
      </c>
      <c r="G32" s="1">
        <v>9.3</v>
      </c>
      <c r="H32" s="1" t="s">
        <v>1188</v>
      </c>
      <c r="I32" s="1" t="s">
        <v>1223</v>
      </c>
      <c r="J32" s="1" t="s">
        <v>394</v>
      </c>
    </row>
    <row r="33" s="1" customFormat="1" spans="1:10">
      <c r="A33" s="1" t="s">
        <v>1224</v>
      </c>
    </row>
    <row r="34" s="72" customFormat="1" spans="1:10">
      <c r="A34" s="1">
        <v>991000001</v>
      </c>
      <c r="B34" s="1" t="s">
        <v>1225</v>
      </c>
      <c r="C34" s="1" t="s">
        <v>1171</v>
      </c>
      <c r="D34" s="1">
        <v>145</v>
      </c>
      <c r="E34" s="1">
        <v>3</v>
      </c>
      <c r="F34" s="1">
        <v>6</v>
      </c>
      <c r="G34" s="1">
        <v>9.4</v>
      </c>
      <c r="H34" s="1" t="s">
        <v>1226</v>
      </c>
      <c r="I34" s="1" t="s">
        <v>24</v>
      </c>
      <c r="J34" s="1" t="s">
        <v>24</v>
      </c>
    </row>
    <row r="35" s="72" customFormat="1" spans="1:10">
      <c r="A35" s="1">
        <v>991000002</v>
      </c>
      <c r="B35" s="1" t="s">
        <v>1227</v>
      </c>
      <c r="C35" s="1" t="s">
        <v>1228</v>
      </c>
      <c r="D35" s="1">
        <v>212</v>
      </c>
      <c r="E35" s="1">
        <v>2</v>
      </c>
      <c r="F35" s="1">
        <v>5</v>
      </c>
      <c r="G35" s="1">
        <v>9.1</v>
      </c>
      <c r="H35" s="1" t="s">
        <v>1226</v>
      </c>
      <c r="I35" s="1" t="s">
        <v>1229</v>
      </c>
      <c r="J35" s="1" t="s">
        <v>24</v>
      </c>
    </row>
    <row r="36" s="72" customFormat="1" spans="1:10">
      <c r="A36" s="1">
        <v>991000003</v>
      </c>
      <c r="B36" s="1" t="s">
        <v>1230</v>
      </c>
      <c r="C36" s="1" t="s">
        <v>1231</v>
      </c>
      <c r="D36" s="1">
        <v>175</v>
      </c>
      <c r="E36" s="1">
        <v>2</v>
      </c>
      <c r="F36" s="1">
        <v>6</v>
      </c>
      <c r="G36" s="1">
        <v>9.5</v>
      </c>
      <c r="H36" s="1" t="s">
        <v>1226</v>
      </c>
      <c r="I36" s="1" t="s">
        <v>1229</v>
      </c>
      <c r="J36" s="1" t="s">
        <v>24</v>
      </c>
    </row>
    <row r="37" s="72" customFormat="1" spans="1:10">
      <c r="A37" s="1">
        <v>991000004</v>
      </c>
      <c r="B37" s="1" t="s">
        <v>1232</v>
      </c>
      <c r="C37" s="1" t="s">
        <v>1233</v>
      </c>
      <c r="D37" s="1">
        <v>187</v>
      </c>
      <c r="E37" s="1">
        <v>5</v>
      </c>
      <c r="F37" s="1">
        <v>9.4</v>
      </c>
      <c r="G37" s="1">
        <v>10.5</v>
      </c>
      <c r="H37" s="1" t="s">
        <v>1226</v>
      </c>
      <c r="I37" s="1" t="s">
        <v>1229</v>
      </c>
      <c r="J37" s="1" t="s">
        <v>494</v>
      </c>
    </row>
    <row r="38" s="72" customFormat="1" spans="1:10">
      <c r="A38" s="1">
        <v>991000005</v>
      </c>
      <c r="B38" s="1" t="s">
        <v>1234</v>
      </c>
      <c r="C38" s="1" t="s">
        <v>738</v>
      </c>
      <c r="D38" s="1">
        <v>193</v>
      </c>
      <c r="E38" s="1">
        <v>3</v>
      </c>
      <c r="F38" s="1">
        <v>7</v>
      </c>
      <c r="G38" s="1">
        <v>10.5</v>
      </c>
      <c r="H38" s="1" t="s">
        <v>1226</v>
      </c>
      <c r="I38" s="1" t="s">
        <v>24</v>
      </c>
      <c r="J38" s="1" t="s">
        <v>24</v>
      </c>
    </row>
    <row r="39" s="72" customFormat="1" spans="1:10">
      <c r="A39" s="1">
        <v>991000006</v>
      </c>
      <c r="B39" s="1" t="s">
        <v>1235</v>
      </c>
      <c r="C39" s="1" t="s">
        <v>311</v>
      </c>
      <c r="D39" s="1">
        <v>203</v>
      </c>
      <c r="E39" s="1">
        <v>3</v>
      </c>
      <c r="F39" s="1">
        <v>8</v>
      </c>
      <c r="G39" s="1">
        <v>10.2</v>
      </c>
      <c r="H39" s="1" t="s">
        <v>1226</v>
      </c>
      <c r="I39" s="1" t="s">
        <v>24</v>
      </c>
      <c r="J39" s="1" t="s">
        <v>24</v>
      </c>
    </row>
    <row r="40" s="72" customFormat="1" spans="1:10">
      <c r="A40" s="1">
        <v>991000007</v>
      </c>
      <c r="B40" s="1" t="s">
        <v>1236</v>
      </c>
      <c r="C40" s="1" t="s">
        <v>311</v>
      </c>
      <c r="D40" s="1">
        <v>190</v>
      </c>
      <c r="E40" s="1">
        <v>3</v>
      </c>
      <c r="F40" s="1">
        <v>7</v>
      </c>
      <c r="G40" s="1">
        <v>9.8</v>
      </c>
      <c r="H40" s="1" t="s">
        <v>1226</v>
      </c>
      <c r="I40" s="1" t="s">
        <v>24</v>
      </c>
      <c r="J40" s="1" t="s">
        <v>24</v>
      </c>
    </row>
    <row r="41" s="72" customFormat="1" spans="1:10">
      <c r="A41" s="1">
        <v>991000008</v>
      </c>
      <c r="B41" s="1" t="s">
        <v>1237</v>
      </c>
      <c r="C41" s="1" t="s">
        <v>1238</v>
      </c>
      <c r="D41" s="1">
        <v>160</v>
      </c>
      <c r="E41" s="1">
        <v>2</v>
      </c>
      <c r="F41" s="1">
        <v>6</v>
      </c>
      <c r="G41" s="1">
        <v>9.9</v>
      </c>
      <c r="H41" s="1" t="s">
        <v>1226</v>
      </c>
      <c r="I41" s="1" t="s">
        <v>24</v>
      </c>
      <c r="J41" s="1" t="s">
        <v>24</v>
      </c>
    </row>
    <row r="42" s="72" customFormat="1" spans="1:10">
      <c r="A42" s="1">
        <v>991000009</v>
      </c>
      <c r="B42" s="1" t="s">
        <v>1239</v>
      </c>
      <c r="C42" s="1" t="s">
        <v>1240</v>
      </c>
      <c r="D42" s="1">
        <v>180</v>
      </c>
      <c r="E42" s="1">
        <v>3</v>
      </c>
      <c r="F42" s="1">
        <v>7</v>
      </c>
      <c r="G42" s="1">
        <v>9.2</v>
      </c>
      <c r="H42" s="1" t="s">
        <v>1226</v>
      </c>
      <c r="I42" s="1" t="s">
        <v>24</v>
      </c>
      <c r="J42" s="1" t="s">
        <v>24</v>
      </c>
    </row>
    <row r="43" s="72" customFormat="1" spans="1:10">
      <c r="A43" s="1">
        <v>991000010</v>
      </c>
      <c r="B43" s="1" t="s">
        <v>1241</v>
      </c>
      <c r="C43" s="1" t="s">
        <v>738</v>
      </c>
      <c r="D43" s="1">
        <v>200</v>
      </c>
      <c r="E43" s="1">
        <v>4</v>
      </c>
      <c r="F43" s="1">
        <v>7</v>
      </c>
      <c r="G43" s="1">
        <v>10.1</v>
      </c>
      <c r="H43" s="1" t="s">
        <v>1226</v>
      </c>
      <c r="I43" s="1" t="s">
        <v>24</v>
      </c>
      <c r="J43" s="1" t="s">
        <v>45</v>
      </c>
    </row>
    <row r="44" s="72" customFormat="1" spans="1:10">
      <c r="A44" s="1">
        <v>991000011</v>
      </c>
      <c r="B44" s="1" t="s">
        <v>1242</v>
      </c>
      <c r="C44" s="1" t="s">
        <v>1243</v>
      </c>
      <c r="D44" s="1">
        <v>202</v>
      </c>
      <c r="E44" s="1">
        <v>4</v>
      </c>
      <c r="F44" s="1">
        <v>8</v>
      </c>
      <c r="G44" s="1">
        <v>10.5</v>
      </c>
      <c r="H44" s="1" t="s">
        <v>1226</v>
      </c>
      <c r="I44" s="1" t="s">
        <v>24</v>
      </c>
      <c r="J44" s="1" t="s">
        <v>148</v>
      </c>
    </row>
    <row r="45" s="72" customFormat="1" spans="1:10">
      <c r="A45" s="1">
        <v>991000012</v>
      </c>
      <c r="B45" s="1" t="s">
        <v>1244</v>
      </c>
      <c r="C45" s="1" t="s">
        <v>1245</v>
      </c>
      <c r="D45" s="1">
        <v>118</v>
      </c>
      <c r="E45" s="1">
        <v>3</v>
      </c>
      <c r="F45" s="1">
        <v>6</v>
      </c>
      <c r="G45" s="1">
        <v>8</v>
      </c>
      <c r="H45" s="1" t="s">
        <v>1226</v>
      </c>
      <c r="I45" s="1" t="s">
        <v>24</v>
      </c>
      <c r="J45" s="1" t="s">
        <v>400</v>
      </c>
    </row>
    <row r="46" s="72" customFormat="1" spans="1:10">
      <c r="A46" s="1">
        <v>991000013</v>
      </c>
      <c r="B46" s="1" t="s">
        <v>1246</v>
      </c>
      <c r="C46" s="1" t="s">
        <v>1247</v>
      </c>
      <c r="D46" s="1" t="s">
        <v>1248</v>
      </c>
      <c r="E46" s="1">
        <v>5</v>
      </c>
      <c r="F46" s="1">
        <v>8</v>
      </c>
      <c r="G46" s="1">
        <v>10</v>
      </c>
      <c r="H46" s="1" t="s">
        <v>1226</v>
      </c>
      <c r="I46" s="1" t="s">
        <v>24</v>
      </c>
      <c r="J46" s="1" t="s">
        <v>289</v>
      </c>
    </row>
    <row r="47" s="72" customFormat="1" spans="1:10">
      <c r="A47" s="1">
        <v>991000014</v>
      </c>
      <c r="B47" s="1" t="s">
        <v>1249</v>
      </c>
      <c r="C47" s="1" t="s">
        <v>1250</v>
      </c>
      <c r="D47" s="1">
        <v>192</v>
      </c>
      <c r="E47" s="1">
        <v>4</v>
      </c>
      <c r="F47" s="1">
        <v>7</v>
      </c>
      <c r="G47" s="1">
        <v>9.5</v>
      </c>
      <c r="H47" s="1" t="s">
        <v>1226</v>
      </c>
      <c r="I47" s="1" t="s">
        <v>24</v>
      </c>
      <c r="J47" s="1" t="s">
        <v>494</v>
      </c>
    </row>
    <row r="48" s="72" customFormat="1" spans="1:10">
      <c r="A48" s="1">
        <v>991000015</v>
      </c>
      <c r="B48" s="1" t="s">
        <v>1251</v>
      </c>
      <c r="C48" s="1" t="s">
        <v>1252</v>
      </c>
      <c r="D48" s="1">
        <v>150</v>
      </c>
      <c r="E48" s="1">
        <v>3</v>
      </c>
      <c r="F48" s="1">
        <v>7</v>
      </c>
      <c r="G48" s="1">
        <v>9.1</v>
      </c>
      <c r="H48" s="1" t="s">
        <v>1226</v>
      </c>
      <c r="I48" s="1" t="s">
        <v>24</v>
      </c>
      <c r="J48" s="1" t="s">
        <v>349</v>
      </c>
    </row>
    <row r="49" s="72" customFormat="1" spans="1:10">
      <c r="A49" s="1">
        <v>991000016</v>
      </c>
      <c r="B49" s="1" t="s">
        <v>1253</v>
      </c>
      <c r="C49" s="1" t="s">
        <v>738</v>
      </c>
      <c r="D49" s="1">
        <v>177</v>
      </c>
      <c r="E49" s="1">
        <v>4</v>
      </c>
      <c r="F49" s="1">
        <v>7</v>
      </c>
      <c r="G49" s="1">
        <v>10</v>
      </c>
      <c r="H49" s="1" t="s">
        <v>1226</v>
      </c>
      <c r="I49" s="1" t="s">
        <v>24</v>
      </c>
      <c r="J49" s="1" t="s">
        <v>400</v>
      </c>
    </row>
    <row r="50" s="72" customFormat="1" spans="1:10">
      <c r="A50" s="1">
        <v>991000017</v>
      </c>
      <c r="B50" s="1" t="s">
        <v>1254</v>
      </c>
      <c r="C50" s="1" t="s">
        <v>1255</v>
      </c>
      <c r="D50" s="1">
        <v>180</v>
      </c>
      <c r="E50" s="1">
        <v>3</v>
      </c>
      <c r="F50" s="1">
        <v>8</v>
      </c>
      <c r="G50" s="1">
        <v>10</v>
      </c>
      <c r="H50" s="1" t="s">
        <v>1226</v>
      </c>
      <c r="I50" s="1" t="s">
        <v>1256</v>
      </c>
      <c r="J50" s="1" t="s">
        <v>577</v>
      </c>
    </row>
    <row r="51" s="72" customFormat="1" spans="1:10">
      <c r="A51" s="1">
        <v>991000020</v>
      </c>
      <c r="B51" s="1" t="s">
        <v>1257</v>
      </c>
      <c r="C51" s="1" t="s">
        <v>1258</v>
      </c>
      <c r="D51" s="1">
        <v>210</v>
      </c>
      <c r="E51" s="1">
        <v>3</v>
      </c>
      <c r="F51" s="1">
        <v>7</v>
      </c>
      <c r="G51" s="1">
        <v>9.5</v>
      </c>
      <c r="H51" s="1" t="s">
        <v>1226</v>
      </c>
      <c r="I51" s="1" t="s">
        <v>1256</v>
      </c>
      <c r="J51" s="1" t="s">
        <v>490</v>
      </c>
    </row>
    <row r="52" s="72" customFormat="1" spans="1:10">
      <c r="A52" s="1">
        <v>991000021</v>
      </c>
      <c r="B52" s="1" t="s">
        <v>1259</v>
      </c>
      <c r="C52" s="1" t="s">
        <v>1260</v>
      </c>
      <c r="D52" s="1">
        <v>200</v>
      </c>
      <c r="E52" s="1">
        <v>4</v>
      </c>
      <c r="F52" s="1">
        <v>7</v>
      </c>
      <c r="G52" s="1">
        <v>9.3</v>
      </c>
      <c r="H52" s="1" t="s">
        <v>1226</v>
      </c>
      <c r="I52" s="1" t="s">
        <v>1256</v>
      </c>
      <c r="J52" s="1" t="s">
        <v>180</v>
      </c>
    </row>
    <row r="53" s="72" customFormat="1" spans="1:10">
      <c r="A53" s="1">
        <v>991000022</v>
      </c>
      <c r="B53" s="1" t="s">
        <v>1261</v>
      </c>
      <c r="C53" s="1" t="s">
        <v>1262</v>
      </c>
      <c r="D53" s="1">
        <v>130</v>
      </c>
      <c r="E53" s="1">
        <v>2</v>
      </c>
      <c r="F53" s="1">
        <v>5</v>
      </c>
      <c r="G53" s="1">
        <v>8</v>
      </c>
      <c r="H53" s="1" t="s">
        <v>1226</v>
      </c>
      <c r="I53" s="1" t="s">
        <v>1256</v>
      </c>
      <c r="J53" s="1" t="s">
        <v>410</v>
      </c>
    </row>
    <row r="54" s="72" customFormat="1" spans="1:10">
      <c r="A54" s="1">
        <v>991000023</v>
      </c>
      <c r="B54" s="1" t="s">
        <v>1263</v>
      </c>
      <c r="C54" s="1" t="s">
        <v>1264</v>
      </c>
      <c r="D54" s="1">
        <v>170</v>
      </c>
      <c r="E54" s="1">
        <v>2</v>
      </c>
      <c r="F54" s="1">
        <v>5</v>
      </c>
      <c r="G54" s="1">
        <v>9.2</v>
      </c>
      <c r="H54" s="1" t="s">
        <v>1226</v>
      </c>
      <c r="I54" s="1" t="s">
        <v>1256</v>
      </c>
      <c r="J54" s="1" t="s">
        <v>494</v>
      </c>
    </row>
    <row r="55" s="72" customFormat="1" spans="1:10">
      <c r="A55" s="1">
        <v>991000024</v>
      </c>
      <c r="B55" s="1" t="s">
        <v>1265</v>
      </c>
      <c r="C55" s="1" t="s">
        <v>1266</v>
      </c>
      <c r="D55" s="1">
        <v>180</v>
      </c>
      <c r="E55" s="1">
        <v>2</v>
      </c>
      <c r="F55" s="1">
        <v>5</v>
      </c>
      <c r="G55" s="1">
        <v>9</v>
      </c>
      <c r="H55" s="1" t="s">
        <v>1226</v>
      </c>
      <c r="I55" s="1" t="s">
        <v>1256</v>
      </c>
      <c r="J55" s="1" t="s">
        <v>633</v>
      </c>
    </row>
    <row r="56" s="72" customFormat="1" spans="1:10">
      <c r="A56" s="1">
        <v>991000025</v>
      </c>
      <c r="B56" s="1" t="s">
        <v>1267</v>
      </c>
      <c r="C56" s="1" t="s">
        <v>1268</v>
      </c>
      <c r="D56" s="1">
        <v>154</v>
      </c>
      <c r="E56" s="1">
        <v>5</v>
      </c>
      <c r="F56" s="1">
        <v>8</v>
      </c>
      <c r="G56" s="1">
        <v>10.4</v>
      </c>
      <c r="H56" s="1" t="s">
        <v>1226</v>
      </c>
      <c r="I56" s="1" t="s">
        <v>24</v>
      </c>
      <c r="J56" s="1" t="s">
        <v>394</v>
      </c>
    </row>
    <row r="57" s="72" customFormat="1" spans="1:10">
      <c r="A57" s="1">
        <v>991000026</v>
      </c>
      <c r="B57" s="1" t="s">
        <v>1269</v>
      </c>
      <c r="C57" s="1" t="s">
        <v>1270</v>
      </c>
      <c r="D57" s="1">
        <v>130</v>
      </c>
      <c r="E57" s="1">
        <v>2</v>
      </c>
      <c r="F57" s="1">
        <v>4</v>
      </c>
      <c r="G57" s="1">
        <v>6</v>
      </c>
      <c r="H57" s="1" t="s">
        <v>1226</v>
      </c>
      <c r="I57" s="1" t="s">
        <v>1256</v>
      </c>
      <c r="J57" s="1" t="s">
        <v>490</v>
      </c>
    </row>
    <row r="58" s="72" customFormat="1" spans="1:10">
      <c r="A58" s="1">
        <v>991000027</v>
      </c>
      <c r="B58" s="1" t="s">
        <v>1271</v>
      </c>
      <c r="C58" s="1" t="s">
        <v>1272</v>
      </c>
      <c r="D58" s="1">
        <v>175</v>
      </c>
      <c r="E58" s="1">
        <v>3</v>
      </c>
      <c r="F58" s="1">
        <v>6</v>
      </c>
      <c r="G58" s="1">
        <v>9.1</v>
      </c>
      <c r="H58" s="1" t="s">
        <v>1226</v>
      </c>
      <c r="I58" s="1" t="s">
        <v>1273</v>
      </c>
      <c r="J58" s="1" t="s">
        <v>410</v>
      </c>
    </row>
    <row r="59" s="1" customFormat="1" spans="1:10">
      <c r="A59" s="1">
        <v>991000028</v>
      </c>
      <c r="B59" s="1" t="s">
        <v>1274</v>
      </c>
      <c r="C59" s="1" t="s">
        <v>524</v>
      </c>
      <c r="D59" s="1">
        <v>186</v>
      </c>
      <c r="E59" s="1">
        <v>6</v>
      </c>
      <c r="F59" s="1">
        <v>9.1</v>
      </c>
      <c r="G59" s="1">
        <v>10.4</v>
      </c>
      <c r="H59" s="1" t="s">
        <v>1226</v>
      </c>
      <c r="I59" s="1" t="s">
        <v>1273</v>
      </c>
      <c r="J59" s="1" t="s">
        <v>124</v>
      </c>
    </row>
    <row r="60" s="1" customFormat="1" spans="1:10">
      <c r="A60" s="1" t="s">
        <v>1275</v>
      </c>
    </row>
    <row r="61" s="72" customFormat="1" spans="1:10">
      <c r="A61" s="1">
        <v>995000001</v>
      </c>
      <c r="B61" s="1" t="s">
        <v>1276</v>
      </c>
      <c r="C61" s="1" t="s">
        <v>1277</v>
      </c>
      <c r="D61" s="1">
        <v>188</v>
      </c>
      <c r="E61" s="1">
        <v>3</v>
      </c>
      <c r="F61" s="1">
        <v>6</v>
      </c>
      <c r="G61" s="1">
        <v>8</v>
      </c>
      <c r="H61" s="1" t="s">
        <v>1278</v>
      </c>
      <c r="I61" s="1" t="s">
        <v>24</v>
      </c>
      <c r="J61" s="1" t="s">
        <v>24</v>
      </c>
    </row>
    <row r="62" s="72" customFormat="1" spans="1:10">
      <c r="A62" s="1">
        <v>995000002</v>
      </c>
      <c r="B62" s="1" t="s">
        <v>1279</v>
      </c>
      <c r="C62" s="1" t="s">
        <v>1277</v>
      </c>
      <c r="D62" s="1">
        <v>115</v>
      </c>
      <c r="E62" s="1">
        <v>1</v>
      </c>
      <c r="F62" s="1">
        <v>4</v>
      </c>
      <c r="G62" s="1">
        <v>7</v>
      </c>
      <c r="H62" s="1" t="s">
        <v>1278</v>
      </c>
      <c r="I62" s="1" t="s">
        <v>24</v>
      </c>
      <c r="J62" s="1" t="s">
        <v>24</v>
      </c>
    </row>
    <row r="63" s="72" customFormat="1" spans="1:10">
      <c r="A63" s="1">
        <v>995000003</v>
      </c>
      <c r="B63" s="1" t="s">
        <v>1280</v>
      </c>
      <c r="C63" s="1" t="s">
        <v>1281</v>
      </c>
      <c r="D63" s="1">
        <v>110</v>
      </c>
      <c r="E63" s="1">
        <v>1</v>
      </c>
      <c r="F63" s="1">
        <v>4</v>
      </c>
      <c r="G63" s="1">
        <v>7</v>
      </c>
      <c r="H63" s="1" t="s">
        <v>1278</v>
      </c>
      <c r="I63" s="1" t="s">
        <v>24</v>
      </c>
      <c r="J63" s="1" t="s">
        <v>95</v>
      </c>
    </row>
    <row r="64" s="72" customFormat="1" spans="1:10">
      <c r="A64" s="1">
        <v>995000004</v>
      </c>
      <c r="B64" s="77" t="s">
        <v>1282</v>
      </c>
      <c r="C64" s="78" t="s">
        <v>1283</v>
      </c>
      <c r="D64" s="1">
        <v>130</v>
      </c>
      <c r="E64" s="1">
        <v>1</v>
      </c>
      <c r="F64" s="1">
        <v>4</v>
      </c>
      <c r="G64" s="1">
        <v>6</v>
      </c>
      <c r="H64" s="1" t="s">
        <v>1284</v>
      </c>
      <c r="I64" s="1" t="s">
        <v>24</v>
      </c>
      <c r="J64" s="1" t="s">
        <v>45</v>
      </c>
    </row>
    <row r="65" s="72" customFormat="1" spans="1:10">
      <c r="A65" s="1">
        <v>995000006</v>
      </c>
      <c r="B65" s="1" t="s">
        <v>1285</v>
      </c>
      <c r="C65" s="1" t="s">
        <v>1286</v>
      </c>
      <c r="D65" s="1" t="s">
        <v>1248</v>
      </c>
      <c r="E65" s="1">
        <v>2</v>
      </c>
      <c r="F65" s="1">
        <v>5</v>
      </c>
      <c r="G65" s="1">
        <v>6</v>
      </c>
      <c r="H65" s="1" t="s">
        <v>1278</v>
      </c>
      <c r="I65" s="1" t="s">
        <v>1287</v>
      </c>
      <c r="J65" s="1" t="s">
        <v>124</v>
      </c>
    </row>
    <row r="66" s="72" customFormat="1" spans="1:10">
      <c r="A66" s="1">
        <v>995000007</v>
      </c>
      <c r="B66" s="1" t="s">
        <v>1288</v>
      </c>
      <c r="C66" s="1" t="s">
        <v>1289</v>
      </c>
      <c r="D66" s="1">
        <v>200</v>
      </c>
      <c r="E66" s="1">
        <v>2</v>
      </c>
      <c r="F66" s="1">
        <v>6</v>
      </c>
      <c r="G66" s="1">
        <v>9</v>
      </c>
      <c r="H66" s="1" t="s">
        <v>1278</v>
      </c>
      <c r="I66" s="1" t="s">
        <v>24</v>
      </c>
      <c r="J66" s="1" t="s">
        <v>180</v>
      </c>
    </row>
    <row r="67" s="72" customFormat="1" spans="1:10">
      <c r="A67" s="1">
        <v>995000008</v>
      </c>
      <c r="B67" s="1" t="s">
        <v>1290</v>
      </c>
      <c r="C67" s="1" t="s">
        <v>1291</v>
      </c>
      <c r="D67" s="1">
        <v>122</v>
      </c>
      <c r="E67" s="1">
        <v>2</v>
      </c>
      <c r="F67" s="1">
        <v>5</v>
      </c>
      <c r="G67" s="1">
        <v>8</v>
      </c>
      <c r="H67" s="1" t="s">
        <v>1278</v>
      </c>
      <c r="I67" s="1" t="s">
        <v>1287</v>
      </c>
      <c r="J67" s="1" t="s">
        <v>633</v>
      </c>
    </row>
    <row r="68" s="72" customFormat="1" spans="1:10">
      <c r="A68" s="1">
        <v>995000009</v>
      </c>
      <c r="B68" s="1" t="s">
        <v>1292</v>
      </c>
      <c r="C68" s="1" t="s">
        <v>1293</v>
      </c>
      <c r="D68" s="1">
        <v>125</v>
      </c>
      <c r="E68" s="1">
        <v>2</v>
      </c>
      <c r="F68" s="1">
        <v>5</v>
      </c>
      <c r="G68" s="1">
        <v>8</v>
      </c>
      <c r="H68" s="1" t="s">
        <v>1278</v>
      </c>
      <c r="I68" s="1" t="s">
        <v>1287</v>
      </c>
      <c r="J68" s="1" t="s">
        <v>349</v>
      </c>
    </row>
    <row r="69" s="72" customFormat="1" spans="1:10">
      <c r="A69" s="1">
        <v>995000010</v>
      </c>
      <c r="B69" s="1" t="s">
        <v>1294</v>
      </c>
      <c r="C69" s="1" t="s">
        <v>1295</v>
      </c>
      <c r="D69" s="1">
        <v>140</v>
      </c>
      <c r="E69" s="1">
        <v>2</v>
      </c>
      <c r="F69" s="1">
        <v>5</v>
      </c>
      <c r="G69" s="1">
        <v>7</v>
      </c>
      <c r="H69" s="1" t="s">
        <v>1278</v>
      </c>
      <c r="I69" s="1" t="s">
        <v>1287</v>
      </c>
      <c r="J69" s="1" t="s">
        <v>410</v>
      </c>
    </row>
    <row r="70" s="72" customFormat="1" spans="1:10">
      <c r="A70" s="1">
        <v>995000011</v>
      </c>
      <c r="B70" s="1" t="s">
        <v>1296</v>
      </c>
      <c r="C70" s="1" t="s">
        <v>1297</v>
      </c>
      <c r="D70" s="1">
        <v>130</v>
      </c>
      <c r="E70" s="1">
        <v>1</v>
      </c>
      <c r="F70" s="1">
        <v>4</v>
      </c>
      <c r="G70" s="1">
        <v>7</v>
      </c>
      <c r="H70" s="1" t="s">
        <v>1278</v>
      </c>
      <c r="I70" s="1" t="s">
        <v>1287</v>
      </c>
      <c r="J70" s="1" t="s">
        <v>490</v>
      </c>
    </row>
    <row r="71" s="72" customFormat="1" spans="1:10">
      <c r="A71" s="1">
        <v>995000012</v>
      </c>
      <c r="B71" s="1" t="s">
        <v>1298</v>
      </c>
      <c r="C71" s="1" t="s">
        <v>1299</v>
      </c>
      <c r="D71" s="1" t="s">
        <v>1248</v>
      </c>
      <c r="E71" s="1">
        <v>2</v>
      </c>
      <c r="F71" s="1">
        <v>5</v>
      </c>
      <c r="G71" s="1">
        <v>8</v>
      </c>
      <c r="H71" s="1" t="s">
        <v>1278</v>
      </c>
      <c r="I71" s="1" t="s">
        <v>1300</v>
      </c>
      <c r="J71" s="1" t="s">
        <v>433</v>
      </c>
    </row>
    <row r="72" s="72" customFormat="1" spans="1:10">
      <c r="A72" s="1">
        <v>995000013</v>
      </c>
      <c r="B72" s="1" t="s">
        <v>1301</v>
      </c>
      <c r="C72" s="1" t="s">
        <v>1302</v>
      </c>
      <c r="D72" s="1">
        <v>115</v>
      </c>
      <c r="E72" s="1">
        <v>1</v>
      </c>
      <c r="F72" s="1">
        <v>4</v>
      </c>
      <c r="G72" s="1">
        <v>6</v>
      </c>
      <c r="H72" s="1" t="s">
        <v>1278</v>
      </c>
      <c r="I72" s="1" t="s">
        <v>1287</v>
      </c>
      <c r="J72" s="1" t="s">
        <v>633</v>
      </c>
    </row>
    <row r="73" s="72" customFormat="1" spans="1:10">
      <c r="A73" s="1">
        <v>995000014</v>
      </c>
      <c r="B73" s="1" t="s">
        <v>1303</v>
      </c>
      <c r="C73" s="1" t="s">
        <v>1302</v>
      </c>
      <c r="D73" s="1">
        <v>150</v>
      </c>
      <c r="E73" s="1">
        <v>1</v>
      </c>
      <c r="F73" s="1">
        <v>4</v>
      </c>
      <c r="G73" s="1">
        <v>7</v>
      </c>
      <c r="H73" s="1" t="s">
        <v>1278</v>
      </c>
      <c r="I73" s="1" t="s">
        <v>1287</v>
      </c>
      <c r="J73" s="1" t="s">
        <v>494</v>
      </c>
    </row>
    <row r="74" s="72" customFormat="1" spans="1:10">
      <c r="A74" s="1">
        <v>995000015</v>
      </c>
      <c r="B74" s="1" t="s">
        <v>1304</v>
      </c>
      <c r="C74" s="1" t="s">
        <v>1305</v>
      </c>
      <c r="D74" s="1">
        <v>125</v>
      </c>
      <c r="E74" s="1">
        <v>2</v>
      </c>
      <c r="F74" s="1">
        <v>5</v>
      </c>
      <c r="G74" s="1">
        <v>7</v>
      </c>
      <c r="H74" s="1" t="s">
        <v>1278</v>
      </c>
      <c r="I74" s="1" t="s">
        <v>24</v>
      </c>
      <c r="J74" s="1" t="s">
        <v>400</v>
      </c>
    </row>
    <row r="75" s="72" customFormat="1" spans="1:10">
      <c r="A75" s="1">
        <v>995000016</v>
      </c>
      <c r="B75" s="1" t="s">
        <v>1306</v>
      </c>
      <c r="C75" s="1" t="s">
        <v>1307</v>
      </c>
      <c r="D75" s="1">
        <v>175</v>
      </c>
      <c r="E75" s="1">
        <v>2</v>
      </c>
      <c r="F75" s="1">
        <v>5</v>
      </c>
      <c r="G75" s="1">
        <v>7</v>
      </c>
      <c r="H75" s="1" t="s">
        <v>1278</v>
      </c>
      <c r="I75" s="1" t="s">
        <v>1300</v>
      </c>
      <c r="J75" s="1" t="s">
        <v>349</v>
      </c>
    </row>
    <row r="76" s="72" customFormat="1" spans="1:10">
      <c r="A76" s="1">
        <v>995000017</v>
      </c>
      <c r="B76" s="1" t="s">
        <v>1308</v>
      </c>
      <c r="C76" s="1" t="s">
        <v>1309</v>
      </c>
      <c r="D76" s="1">
        <v>110</v>
      </c>
      <c r="E76" s="1">
        <v>2</v>
      </c>
      <c r="F76" s="1">
        <v>5</v>
      </c>
      <c r="G76" s="1">
        <v>7</v>
      </c>
      <c r="H76" s="1" t="s">
        <v>1278</v>
      </c>
      <c r="I76" s="1" t="s">
        <v>1300</v>
      </c>
      <c r="J76" s="1" t="s">
        <v>400</v>
      </c>
    </row>
    <row r="77" s="72" customFormat="1" spans="1:10">
      <c r="A77" s="1">
        <v>995000018</v>
      </c>
      <c r="B77" s="1" t="s">
        <v>1310</v>
      </c>
      <c r="C77" s="1" t="s">
        <v>1311</v>
      </c>
      <c r="D77" s="1">
        <v>150</v>
      </c>
      <c r="E77" s="1">
        <v>1</v>
      </c>
      <c r="F77" s="1">
        <v>4</v>
      </c>
      <c r="G77" s="1">
        <v>6</v>
      </c>
      <c r="H77" s="1" t="s">
        <v>1278</v>
      </c>
      <c r="I77" s="1" t="s">
        <v>1300</v>
      </c>
      <c r="J77" s="1" t="s">
        <v>349</v>
      </c>
    </row>
    <row r="78" s="72" customFormat="1" spans="1:10">
      <c r="A78" s="1">
        <v>995000019</v>
      </c>
      <c r="B78" s="1" t="s">
        <v>1312</v>
      </c>
      <c r="C78" s="1" t="s">
        <v>1313</v>
      </c>
      <c r="D78" s="1">
        <v>126</v>
      </c>
      <c r="E78" s="1">
        <v>1</v>
      </c>
      <c r="F78" s="1">
        <v>4</v>
      </c>
      <c r="G78" s="1">
        <v>6</v>
      </c>
      <c r="H78" s="1" t="s">
        <v>1278</v>
      </c>
      <c r="I78" s="1" t="s">
        <v>1300</v>
      </c>
      <c r="J78" s="1" t="s">
        <v>410</v>
      </c>
    </row>
    <row r="79" s="72" customFormat="1" spans="1:10">
      <c r="A79" s="1">
        <v>995000020</v>
      </c>
      <c r="B79" s="1" t="s">
        <v>1314</v>
      </c>
      <c r="C79" s="1" t="s">
        <v>1315</v>
      </c>
      <c r="D79" s="1">
        <v>165</v>
      </c>
      <c r="E79" s="1">
        <v>1</v>
      </c>
      <c r="F79" s="1">
        <v>6</v>
      </c>
      <c r="G79" s="1">
        <v>7</v>
      </c>
      <c r="H79" s="1" t="s">
        <v>1278</v>
      </c>
      <c r="I79" s="1" t="s">
        <v>1300</v>
      </c>
      <c r="J79" s="1" t="s">
        <v>494</v>
      </c>
    </row>
    <row r="80" s="72" customFormat="1" spans="1:10">
      <c r="A80" s="1">
        <v>995000021</v>
      </c>
      <c r="B80" s="77" t="s">
        <v>1316</v>
      </c>
      <c r="C80" s="78" t="s">
        <v>1317</v>
      </c>
      <c r="D80" s="1">
        <v>132</v>
      </c>
      <c r="E80" s="1">
        <v>1</v>
      </c>
      <c r="F80" s="1">
        <v>4</v>
      </c>
      <c r="G80" s="1">
        <v>6</v>
      </c>
      <c r="H80" s="1" t="s">
        <v>1284</v>
      </c>
      <c r="I80" s="1" t="s">
        <v>1318</v>
      </c>
      <c r="J80" s="1" t="s">
        <v>494</v>
      </c>
    </row>
    <row r="81" s="72" customFormat="1" spans="1:10">
      <c r="A81" s="1">
        <v>995000022</v>
      </c>
      <c r="B81" s="1" t="s">
        <v>1319</v>
      </c>
      <c r="C81" s="1" t="s">
        <v>1320</v>
      </c>
      <c r="D81" s="1">
        <v>130</v>
      </c>
      <c r="E81" s="1">
        <v>2</v>
      </c>
      <c r="F81" s="1">
        <v>5</v>
      </c>
      <c r="G81" s="1">
        <v>7</v>
      </c>
      <c r="H81" s="1" t="s">
        <v>1278</v>
      </c>
      <c r="I81" s="1" t="s">
        <v>24</v>
      </c>
      <c r="J81" s="1" t="s">
        <v>180</v>
      </c>
    </row>
    <row r="82" s="72" customFormat="1" spans="1:10">
      <c r="A82" s="1">
        <v>995000023</v>
      </c>
      <c r="B82" s="1" t="s">
        <v>1321</v>
      </c>
      <c r="C82" s="1" t="s">
        <v>1305</v>
      </c>
      <c r="D82" s="1">
        <v>120</v>
      </c>
      <c r="E82" s="1">
        <v>1</v>
      </c>
      <c r="F82" s="1">
        <v>4</v>
      </c>
      <c r="G82" s="1">
        <v>6</v>
      </c>
      <c r="H82" s="1" t="s">
        <v>1278</v>
      </c>
      <c r="I82" s="1" t="s">
        <v>24</v>
      </c>
      <c r="J82" s="1" t="s">
        <v>124</v>
      </c>
    </row>
    <row r="83" s="72" customFormat="1" spans="1:10">
      <c r="A83" s="1">
        <v>995000024</v>
      </c>
      <c r="B83" s="1" t="s">
        <v>1322</v>
      </c>
      <c r="C83" s="1" t="s">
        <v>1323</v>
      </c>
      <c r="D83" s="1">
        <v>155</v>
      </c>
      <c r="E83" s="1">
        <v>1</v>
      </c>
      <c r="F83" s="1">
        <v>4</v>
      </c>
      <c r="G83" s="1">
        <v>6</v>
      </c>
      <c r="H83" s="1" t="s">
        <v>1278</v>
      </c>
      <c r="I83" s="1" t="s">
        <v>24</v>
      </c>
      <c r="J83" s="1" t="s">
        <v>400</v>
      </c>
    </row>
    <row r="84" s="72" customFormat="1" spans="1:10">
      <c r="A84" s="1">
        <v>995000025</v>
      </c>
      <c r="B84" s="1" t="s">
        <v>1324</v>
      </c>
      <c r="C84" s="1" t="s">
        <v>1325</v>
      </c>
      <c r="D84" s="1" t="s">
        <v>1248</v>
      </c>
      <c r="E84" s="1">
        <v>1</v>
      </c>
      <c r="F84" s="1">
        <v>4</v>
      </c>
      <c r="G84" s="1">
        <v>6</v>
      </c>
      <c r="H84" s="1" t="s">
        <v>1278</v>
      </c>
      <c r="I84" s="1" t="s">
        <v>24</v>
      </c>
      <c r="J84" s="1" t="s">
        <v>180</v>
      </c>
    </row>
    <row r="85" s="72" customFormat="1" spans="1:10">
      <c r="A85" s="1">
        <v>995000026</v>
      </c>
      <c r="B85" s="1" t="s">
        <v>1326</v>
      </c>
      <c r="C85" s="1" t="s">
        <v>1327</v>
      </c>
      <c r="D85" s="1" t="s">
        <v>1248</v>
      </c>
      <c r="E85" s="1">
        <v>2</v>
      </c>
      <c r="F85" s="1">
        <v>4</v>
      </c>
      <c r="G85" s="1">
        <v>7</v>
      </c>
      <c r="H85" s="1" t="s">
        <v>1278</v>
      </c>
      <c r="I85" s="1" t="s">
        <v>24</v>
      </c>
      <c r="J85" s="1" t="s">
        <v>180</v>
      </c>
    </row>
    <row r="86" s="72" customFormat="1" spans="1:10">
      <c r="A86" s="1">
        <v>995000027</v>
      </c>
      <c r="B86" s="1" t="s">
        <v>1328</v>
      </c>
      <c r="C86" s="1" t="s">
        <v>1329</v>
      </c>
      <c r="D86" s="1">
        <v>124</v>
      </c>
      <c r="E86" s="1">
        <v>2</v>
      </c>
      <c r="F86" s="1">
        <v>4</v>
      </c>
      <c r="G86" s="1">
        <v>6</v>
      </c>
      <c r="H86" s="1" t="s">
        <v>1278</v>
      </c>
      <c r="I86" s="1" t="s">
        <v>24</v>
      </c>
      <c r="J86" s="1" t="s">
        <v>124</v>
      </c>
    </row>
    <row r="87" s="72" customFormat="1" spans="1:10">
      <c r="A87" s="1">
        <v>995000028</v>
      </c>
      <c r="B87" s="1" t="s">
        <v>1330</v>
      </c>
      <c r="C87" s="1" t="s">
        <v>1331</v>
      </c>
      <c r="D87" s="1">
        <v>125</v>
      </c>
      <c r="E87" s="1">
        <v>2</v>
      </c>
      <c r="F87" s="1">
        <v>4</v>
      </c>
      <c r="G87" s="1">
        <v>6</v>
      </c>
      <c r="H87" s="1" t="s">
        <v>1278</v>
      </c>
      <c r="I87" s="1" t="s">
        <v>24</v>
      </c>
      <c r="J87" s="1" t="s">
        <v>124</v>
      </c>
    </row>
    <row r="88" s="72" customFormat="1" spans="1:10">
      <c r="A88" s="1">
        <v>995000032</v>
      </c>
      <c r="B88" s="1" t="s">
        <v>1332</v>
      </c>
      <c r="C88" s="1" t="s">
        <v>1333</v>
      </c>
      <c r="D88" s="1">
        <v>126</v>
      </c>
      <c r="E88" s="1">
        <v>2</v>
      </c>
      <c r="F88" s="1">
        <v>5</v>
      </c>
      <c r="G88" s="1">
        <v>9</v>
      </c>
      <c r="H88" s="1" t="s">
        <v>1278</v>
      </c>
      <c r="I88" s="1" t="s">
        <v>24</v>
      </c>
      <c r="J88" s="1" t="s">
        <v>394</v>
      </c>
    </row>
    <row r="89" s="72" customFormat="1" spans="1:10">
      <c r="A89" s="1">
        <v>995000033</v>
      </c>
      <c r="B89" s="1" t="s">
        <v>1334</v>
      </c>
      <c r="C89" s="1" t="s">
        <v>1335</v>
      </c>
      <c r="D89" s="1">
        <v>130</v>
      </c>
      <c r="E89" s="1">
        <v>1</v>
      </c>
      <c r="F89" s="1">
        <v>4</v>
      </c>
      <c r="G89" s="1">
        <v>7</v>
      </c>
      <c r="H89" s="1" t="s">
        <v>1278</v>
      </c>
      <c r="I89" s="1" t="s">
        <v>24</v>
      </c>
      <c r="J89" s="1" t="s">
        <v>577</v>
      </c>
    </row>
    <row r="90" s="72" customFormat="1" spans="1:10">
      <c r="A90" s="1">
        <v>995000043</v>
      </c>
      <c r="B90" s="1" t="s">
        <v>1336</v>
      </c>
      <c r="C90" s="1" t="s">
        <v>1337</v>
      </c>
      <c r="D90" s="1">
        <v>190</v>
      </c>
      <c r="E90" s="1">
        <v>1</v>
      </c>
      <c r="F90" s="1">
        <v>5</v>
      </c>
      <c r="G90" s="1">
        <v>7</v>
      </c>
      <c r="H90" s="1" t="s">
        <v>1278</v>
      </c>
      <c r="I90" s="1" t="s">
        <v>24</v>
      </c>
      <c r="J90" s="1" t="s">
        <v>394</v>
      </c>
    </row>
    <row r="91" s="72" customFormat="1" spans="1:10">
      <c r="A91" s="1">
        <v>995000046</v>
      </c>
      <c r="B91" s="1" t="s">
        <v>1338</v>
      </c>
      <c r="C91" s="1" t="s">
        <v>1339</v>
      </c>
      <c r="D91" s="1" t="s">
        <v>1248</v>
      </c>
      <c r="E91" s="1">
        <v>2</v>
      </c>
      <c r="F91" s="1">
        <v>6</v>
      </c>
      <c r="G91" s="1">
        <v>9.3</v>
      </c>
      <c r="H91" s="1" t="s">
        <v>1278</v>
      </c>
      <c r="I91" s="1" t="s">
        <v>24</v>
      </c>
      <c r="J91" s="1" t="s">
        <v>577</v>
      </c>
    </row>
    <row r="92" s="1" customFormat="1" spans="1:10">
      <c r="A92" s="1">
        <v>995000047</v>
      </c>
      <c r="B92" s="1" t="s">
        <v>1340</v>
      </c>
      <c r="C92" s="1" t="s">
        <v>1341</v>
      </c>
      <c r="D92" s="1">
        <v>142</v>
      </c>
      <c r="E92" s="1">
        <v>1</v>
      </c>
      <c r="F92" s="1">
        <v>4</v>
      </c>
      <c r="G92" s="1">
        <v>7</v>
      </c>
      <c r="H92" s="1" t="s">
        <v>1278</v>
      </c>
      <c r="I92" s="1" t="s">
        <v>24</v>
      </c>
      <c r="J92" s="1" t="s">
        <v>394</v>
      </c>
    </row>
    <row r="93" s="1" customFormat="1" spans="1:10">
      <c r="A93" s="1">
        <v>995000048</v>
      </c>
      <c r="B93" s="1" t="s">
        <v>1342</v>
      </c>
      <c r="C93" s="1" t="s">
        <v>1343</v>
      </c>
      <c r="D93" s="1">
        <v>128</v>
      </c>
      <c r="E93" s="1">
        <v>1</v>
      </c>
      <c r="F93" s="1">
        <v>4</v>
      </c>
      <c r="G93" s="1">
        <v>6</v>
      </c>
      <c r="H93" s="1" t="s">
        <v>1278</v>
      </c>
      <c r="I93" s="1" t="s">
        <v>24</v>
      </c>
      <c r="J93" s="1" t="s">
        <v>577</v>
      </c>
    </row>
    <row r="94" s="1" customFormat="1" spans="1:10">
      <c r="A94" s="1">
        <v>995000054</v>
      </c>
      <c r="B94" s="1" t="s">
        <v>1344</v>
      </c>
      <c r="C94" s="1" t="s">
        <v>1345</v>
      </c>
      <c r="D94" s="1" t="s">
        <v>1248</v>
      </c>
      <c r="E94" s="1">
        <v>2</v>
      </c>
      <c r="F94" s="1">
        <v>4</v>
      </c>
      <c r="G94" s="1">
        <v>6</v>
      </c>
      <c r="H94" s="1" t="s">
        <v>1278</v>
      </c>
      <c r="I94" s="1" t="s">
        <v>24</v>
      </c>
      <c r="J94" s="1" t="s">
        <v>577</v>
      </c>
    </row>
    <row r="95" s="1" customFormat="1" spans="1:10">
      <c r="A95" s="1">
        <v>995000055</v>
      </c>
      <c r="B95" s="1" t="s">
        <v>1346</v>
      </c>
      <c r="C95" s="1" t="s">
        <v>1347</v>
      </c>
      <c r="D95" s="1">
        <v>145</v>
      </c>
      <c r="E95" s="1">
        <v>2</v>
      </c>
      <c r="F95" s="1">
        <v>4</v>
      </c>
      <c r="G95" s="1">
        <v>8</v>
      </c>
      <c r="H95" s="1" t="s">
        <v>1278</v>
      </c>
      <c r="I95" s="1" t="s">
        <v>24</v>
      </c>
      <c r="J95" s="1" t="s">
        <v>394</v>
      </c>
    </row>
  </sheetData>
  <autoFilter xmlns:etc="http://www.wps.cn/officeDocument/2017/etCustomData" ref="A1:J95" etc:filterBottomFollowUsedRange="0">
    <extLst/>
  </autoFilter>
  <sortState ref="A3:J32">
    <sortCondition ref="A3"/>
  </sortState>
  <mergeCells count="10">
    <mergeCell ref="E1:G1"/>
    <mergeCell ref="A33:J33"/>
    <mergeCell ref="A60:J60"/>
    <mergeCell ref="A1:A2"/>
    <mergeCell ref="B1:B2"/>
    <mergeCell ref="C1:C2"/>
    <mergeCell ref="D1:D2"/>
    <mergeCell ref="H1:H2"/>
    <mergeCell ref="I1:I2"/>
    <mergeCell ref="J1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opLeftCell="A32" workbookViewId="0">
      <selection activeCell="A21" sqref="A21:B21"/>
    </sheetView>
  </sheetViews>
  <sheetFormatPr defaultColWidth="9" defaultRowHeight="14.4" outlineLevelCol="7"/>
  <cols>
    <col min="1" max="1" width="33.2222222222222" style="28" customWidth="1"/>
    <col min="2" max="2" width="16.4444444444444" style="28" customWidth="1"/>
    <col min="3" max="3" width="9.66666666666667" style="28" customWidth="1"/>
    <col min="4" max="4" width="5.66666666666667" style="28" customWidth="1"/>
    <col min="5" max="5" width="20.8888888888889" style="28" customWidth="1"/>
    <col min="6" max="6" width="35.5555555555556" style="28" customWidth="1"/>
    <col min="7" max="7" width="6.44444444444444" style="28" customWidth="1"/>
    <col min="8" max="8" width="16.4444444444444" style="28" customWidth="1"/>
    <col min="9" max="16384" width="9" style="28"/>
  </cols>
  <sheetData>
    <row r="1" spans="1:8">
      <c r="A1" s="45" t="s">
        <v>1348</v>
      </c>
      <c r="B1" s="45"/>
      <c r="C1" s="45"/>
      <c r="D1" s="45"/>
      <c r="E1" s="45"/>
      <c r="F1" s="45"/>
      <c r="G1" s="28" t="s">
        <v>1349</v>
      </c>
      <c r="H1" s="28" t="s">
        <v>1350</v>
      </c>
    </row>
    <row r="2" spans="1:8">
      <c r="A2" s="45"/>
      <c r="B2" s="45"/>
      <c r="C2" s="45"/>
      <c r="D2" s="45"/>
      <c r="E2" s="45"/>
      <c r="F2" s="45"/>
      <c r="G2" s="28">
        <f>SUM(E5:E34)+SUM(E36:E65)</f>
        <v>7983.7</v>
      </c>
      <c r="H2" s="28">
        <f>SUM(F5:F34)+SUM(F36:F65)</f>
        <v>9580.1</v>
      </c>
    </row>
    <row r="3" spans="1:8">
      <c r="A3" s="28" t="s">
        <v>1351</v>
      </c>
      <c r="B3" s="28" t="s">
        <v>1352</v>
      </c>
      <c r="C3" s="28" t="s">
        <v>1353</v>
      </c>
      <c r="D3" s="28" t="s">
        <v>1354</v>
      </c>
      <c r="E3" s="28" t="s">
        <v>1355</v>
      </c>
      <c r="F3" s="28" t="s">
        <v>1356</v>
      </c>
    </row>
    <row r="4" ht="17.4" spans="1:8">
      <c r="A4" s="62" t="s">
        <v>1357</v>
      </c>
      <c r="B4" s="62"/>
      <c r="C4" s="62"/>
      <c r="D4" s="62"/>
      <c r="E4" s="62"/>
      <c r="F4" s="62"/>
    </row>
    <row r="5" spans="1:8">
      <c r="A5" s="34" t="s">
        <v>685</v>
      </c>
      <c r="B5" s="39" t="s">
        <v>1358</v>
      </c>
      <c r="C5" s="63" t="s">
        <v>11</v>
      </c>
      <c r="D5" s="28">
        <v>10.7</v>
      </c>
      <c r="E5" s="28">
        <f t="shared" ref="E5:E18" si="0">ROUNDDOWN(D5*12.5*100/99,1)</f>
        <v>135.1</v>
      </c>
      <c r="F5" s="28">
        <f t="shared" ref="F5:F18" si="1">ROUNDDOWN(D5*12.5*120/99,1)</f>
        <v>162.1</v>
      </c>
    </row>
    <row r="6" spans="1:8">
      <c r="A6" s="34" t="s">
        <v>277</v>
      </c>
      <c r="B6" s="37" t="s">
        <v>27</v>
      </c>
      <c r="C6" s="63" t="s">
        <v>11</v>
      </c>
      <c r="D6" s="28">
        <v>10.7</v>
      </c>
      <c r="E6" s="28">
        <f t="shared" si="0"/>
        <v>135.1</v>
      </c>
      <c r="F6" s="28">
        <f t="shared" si="1"/>
        <v>162.1</v>
      </c>
    </row>
    <row r="7" spans="1:8">
      <c r="A7" s="34" t="s">
        <v>221</v>
      </c>
      <c r="B7" s="37" t="s">
        <v>27</v>
      </c>
      <c r="C7" s="63" t="s">
        <v>11</v>
      </c>
      <c r="D7" s="28">
        <v>10.7</v>
      </c>
      <c r="E7" s="28">
        <f t="shared" si="0"/>
        <v>135.1</v>
      </c>
      <c r="F7" s="28">
        <f t="shared" si="1"/>
        <v>162.1</v>
      </c>
    </row>
    <row r="8" spans="1:8">
      <c r="A8" s="34" t="s">
        <v>726</v>
      </c>
      <c r="B8" s="38" t="s">
        <v>42</v>
      </c>
      <c r="C8" s="63" t="s">
        <v>11</v>
      </c>
      <c r="D8" s="28">
        <v>10.7</v>
      </c>
      <c r="E8" s="28">
        <f t="shared" si="0"/>
        <v>135.1</v>
      </c>
      <c r="F8" s="28">
        <f t="shared" si="1"/>
        <v>162.1</v>
      </c>
    </row>
    <row r="9" spans="1:8">
      <c r="A9" s="34" t="s">
        <v>855</v>
      </c>
      <c r="B9" s="38" t="s">
        <v>42</v>
      </c>
      <c r="C9" s="63" t="s">
        <v>11</v>
      </c>
      <c r="D9" s="28">
        <v>10.6</v>
      </c>
      <c r="E9" s="28">
        <f t="shared" si="0"/>
        <v>133.8</v>
      </c>
      <c r="F9" s="28">
        <f t="shared" si="1"/>
        <v>160.6</v>
      </c>
    </row>
    <row r="10" spans="1:8">
      <c r="A10" s="34" t="s">
        <v>673</v>
      </c>
      <c r="B10" s="39" t="s">
        <v>1358</v>
      </c>
      <c r="C10" s="63" t="s">
        <v>11</v>
      </c>
      <c r="D10" s="28">
        <v>10.6</v>
      </c>
      <c r="E10" s="28">
        <f t="shared" si="0"/>
        <v>133.8</v>
      </c>
      <c r="F10" s="28">
        <f t="shared" si="1"/>
        <v>160.6</v>
      </c>
    </row>
    <row r="11" spans="1:8">
      <c r="A11" s="34" t="s">
        <v>811</v>
      </c>
      <c r="B11" s="38" t="s">
        <v>42</v>
      </c>
      <c r="C11" s="63" t="s">
        <v>11</v>
      </c>
      <c r="D11" s="28">
        <v>10.6</v>
      </c>
      <c r="E11" s="28">
        <f t="shared" si="0"/>
        <v>133.8</v>
      </c>
      <c r="F11" s="28">
        <f t="shared" si="1"/>
        <v>160.6</v>
      </c>
    </row>
    <row r="12" spans="1:8">
      <c r="A12" s="28" t="s">
        <v>665</v>
      </c>
      <c r="B12" s="39" t="s">
        <v>1358</v>
      </c>
      <c r="C12" s="63" t="s">
        <v>11</v>
      </c>
      <c r="D12" s="28">
        <v>10.6</v>
      </c>
      <c r="E12" s="28">
        <f t="shared" si="0"/>
        <v>133.8</v>
      </c>
      <c r="F12" s="28">
        <f t="shared" si="1"/>
        <v>160.6</v>
      </c>
    </row>
    <row r="13" spans="1:8">
      <c r="A13" s="28" t="s">
        <v>656</v>
      </c>
      <c r="B13" s="39" t="s">
        <v>1358</v>
      </c>
      <c r="C13" s="63" t="s">
        <v>11</v>
      </c>
      <c r="D13" s="28">
        <v>10.6</v>
      </c>
      <c r="E13" s="28">
        <f t="shared" si="0"/>
        <v>133.8</v>
      </c>
      <c r="F13" s="28">
        <f t="shared" si="1"/>
        <v>160.6</v>
      </c>
    </row>
    <row r="14" spans="1:8">
      <c r="A14" s="28" t="s">
        <v>650</v>
      </c>
      <c r="B14" s="39" t="s">
        <v>1358</v>
      </c>
      <c r="C14" s="63" t="s">
        <v>11</v>
      </c>
      <c r="D14" s="28">
        <v>10.6</v>
      </c>
      <c r="E14" s="28">
        <f t="shared" si="0"/>
        <v>133.8</v>
      </c>
      <c r="F14" s="28">
        <f t="shared" si="1"/>
        <v>160.6</v>
      </c>
    </row>
    <row r="15" spans="1:8">
      <c r="A15" s="34" t="s">
        <v>896</v>
      </c>
      <c r="B15" s="38" t="s">
        <v>42</v>
      </c>
      <c r="C15" s="63" t="s">
        <v>11</v>
      </c>
      <c r="D15" s="28">
        <v>10.6</v>
      </c>
      <c r="E15" s="28">
        <f t="shared" si="0"/>
        <v>133.8</v>
      </c>
      <c r="F15" s="28">
        <f t="shared" si="1"/>
        <v>160.6</v>
      </c>
    </row>
    <row r="16" spans="1:8">
      <c r="A16" s="28" t="s">
        <v>22</v>
      </c>
      <c r="B16" s="64" t="s">
        <v>12</v>
      </c>
      <c r="C16" s="63" t="s">
        <v>11</v>
      </c>
      <c r="D16" s="28">
        <v>10.6</v>
      </c>
      <c r="E16" s="28">
        <f t="shared" si="0"/>
        <v>133.8</v>
      </c>
      <c r="F16" s="28">
        <f t="shared" si="1"/>
        <v>160.6</v>
      </c>
    </row>
    <row r="17" spans="1:6">
      <c r="A17" s="34" t="s">
        <v>479</v>
      </c>
      <c r="B17" s="41" t="s">
        <v>33</v>
      </c>
      <c r="C17" s="63" t="s">
        <v>11</v>
      </c>
      <c r="D17" s="28">
        <v>10.6</v>
      </c>
      <c r="E17" s="28">
        <f t="shared" si="0"/>
        <v>133.8</v>
      </c>
      <c r="F17" s="28">
        <f t="shared" si="1"/>
        <v>160.6</v>
      </c>
    </row>
    <row r="18" spans="1:6">
      <c r="A18" s="65" t="s">
        <v>646</v>
      </c>
      <c r="B18" s="39" t="s">
        <v>1358</v>
      </c>
      <c r="C18" s="63" t="s">
        <v>11</v>
      </c>
      <c r="D18" s="28">
        <v>10.6</v>
      </c>
      <c r="E18" s="28">
        <f t="shared" si="0"/>
        <v>133.8</v>
      </c>
      <c r="F18" s="28">
        <f t="shared" si="1"/>
        <v>160.6</v>
      </c>
    </row>
    <row r="19" spans="1:6">
      <c r="A19" s="34" t="s">
        <v>380</v>
      </c>
      <c r="B19" s="37" t="s">
        <v>27</v>
      </c>
      <c r="C19" s="63" t="s">
        <v>11</v>
      </c>
      <c r="D19" s="28">
        <v>10.5</v>
      </c>
      <c r="E19" s="28">
        <f t="shared" ref="E19:E35" si="2">ROUNDDOWN(D19*12.5*100/99,1)</f>
        <v>132.5</v>
      </c>
      <c r="F19" s="28">
        <f t="shared" ref="F19:F35" si="3">ROUNDDOWN(D19*12.5*120/99,1)</f>
        <v>159</v>
      </c>
    </row>
    <row r="20" spans="1:6">
      <c r="A20" s="34" t="s">
        <v>353</v>
      </c>
      <c r="B20" s="37" t="s">
        <v>27</v>
      </c>
      <c r="C20" s="63" t="s">
        <v>11</v>
      </c>
      <c r="D20" s="28">
        <v>10.5</v>
      </c>
      <c r="E20" s="28">
        <f t="shared" si="2"/>
        <v>132.5</v>
      </c>
      <c r="F20" s="28">
        <f t="shared" si="3"/>
        <v>159</v>
      </c>
    </row>
    <row r="21" spans="1:6">
      <c r="A21" s="34" t="s">
        <v>489</v>
      </c>
      <c r="B21" s="41" t="s">
        <v>33</v>
      </c>
      <c r="C21" s="63" t="s">
        <v>11</v>
      </c>
      <c r="D21" s="28">
        <v>10.5</v>
      </c>
      <c r="E21" s="28">
        <f t="shared" si="2"/>
        <v>132.5</v>
      </c>
      <c r="F21" s="28">
        <f t="shared" si="3"/>
        <v>159</v>
      </c>
    </row>
    <row r="22" spans="1:6">
      <c r="A22" s="34" t="s">
        <v>692</v>
      </c>
      <c r="B22" s="39" t="s">
        <v>1358</v>
      </c>
      <c r="C22" s="63" t="s">
        <v>11</v>
      </c>
      <c r="D22" s="28">
        <v>10.5</v>
      </c>
      <c r="E22" s="28">
        <f t="shared" si="2"/>
        <v>132.5</v>
      </c>
      <c r="F22" s="28">
        <f t="shared" si="3"/>
        <v>159</v>
      </c>
    </row>
    <row r="23" spans="1:6">
      <c r="A23" s="34" t="s">
        <v>240</v>
      </c>
      <c r="B23" s="37" t="s">
        <v>27</v>
      </c>
      <c r="C23" s="63" t="s">
        <v>11</v>
      </c>
      <c r="D23" s="28">
        <v>10.5</v>
      </c>
      <c r="E23" s="28">
        <f t="shared" si="2"/>
        <v>132.5</v>
      </c>
      <c r="F23" s="28">
        <f t="shared" si="3"/>
        <v>159</v>
      </c>
    </row>
    <row r="24" spans="1:6">
      <c r="A24" s="34" t="s">
        <v>767</v>
      </c>
      <c r="B24" s="38" t="s">
        <v>42</v>
      </c>
      <c r="C24" s="63" t="s">
        <v>11</v>
      </c>
      <c r="D24" s="28">
        <v>10.5</v>
      </c>
      <c r="E24" s="28">
        <f t="shared" si="2"/>
        <v>132.5</v>
      </c>
      <c r="F24" s="28">
        <f t="shared" si="3"/>
        <v>159</v>
      </c>
    </row>
    <row r="25" spans="1:6">
      <c r="A25" s="34" t="s">
        <v>119</v>
      </c>
      <c r="B25" s="66" t="s">
        <v>25</v>
      </c>
      <c r="C25" s="63" t="s">
        <v>11</v>
      </c>
      <c r="D25" s="28">
        <v>10.5</v>
      </c>
      <c r="E25" s="28">
        <f t="shared" si="2"/>
        <v>132.5</v>
      </c>
      <c r="F25" s="28">
        <f t="shared" si="3"/>
        <v>159</v>
      </c>
    </row>
    <row r="26" spans="1:6">
      <c r="A26" s="34" t="s">
        <v>314</v>
      </c>
      <c r="B26" s="37" t="s">
        <v>27</v>
      </c>
      <c r="C26" s="63" t="s">
        <v>11</v>
      </c>
      <c r="D26" s="28">
        <v>10.5</v>
      </c>
      <c r="E26" s="28">
        <f t="shared" si="2"/>
        <v>132.5</v>
      </c>
      <c r="F26" s="28">
        <f t="shared" si="3"/>
        <v>159</v>
      </c>
    </row>
    <row r="27" spans="1:6">
      <c r="A27" s="28" t="s">
        <v>312</v>
      </c>
      <c r="B27" s="37" t="s">
        <v>27</v>
      </c>
      <c r="C27" s="63" t="s">
        <v>11</v>
      </c>
      <c r="D27" s="28">
        <v>10.5</v>
      </c>
      <c r="E27" s="28">
        <f t="shared" si="2"/>
        <v>132.5</v>
      </c>
      <c r="F27" s="28">
        <f t="shared" si="3"/>
        <v>159</v>
      </c>
    </row>
    <row r="28" spans="1:6">
      <c r="A28" s="34" t="s">
        <v>683</v>
      </c>
      <c r="B28" s="39" t="s">
        <v>1358</v>
      </c>
      <c r="C28" s="63" t="s">
        <v>11</v>
      </c>
      <c r="D28" s="28">
        <v>10.4</v>
      </c>
      <c r="E28" s="28">
        <f t="shared" si="2"/>
        <v>131.3</v>
      </c>
      <c r="F28" s="28">
        <f t="shared" si="3"/>
        <v>157.5</v>
      </c>
    </row>
    <row r="29" spans="1:6">
      <c r="A29" s="28" t="s">
        <v>300</v>
      </c>
      <c r="B29" s="37" t="s">
        <v>27</v>
      </c>
      <c r="C29" s="63" t="s">
        <v>11</v>
      </c>
      <c r="D29" s="28">
        <v>10.4</v>
      </c>
      <c r="E29" s="28">
        <f t="shared" si="2"/>
        <v>131.3</v>
      </c>
      <c r="F29" s="28">
        <f t="shared" si="3"/>
        <v>157.5</v>
      </c>
    </row>
    <row r="30" spans="1:6">
      <c r="A30" s="28" t="s">
        <v>102</v>
      </c>
      <c r="B30" s="67" t="s">
        <v>21</v>
      </c>
      <c r="C30" s="63" t="s">
        <v>11</v>
      </c>
      <c r="D30" s="28">
        <v>10.4</v>
      </c>
      <c r="E30" s="28">
        <f t="shared" si="2"/>
        <v>131.3</v>
      </c>
      <c r="F30" s="28">
        <f t="shared" si="3"/>
        <v>157.5</v>
      </c>
    </row>
    <row r="31" spans="1:6">
      <c r="A31" s="28" t="s">
        <v>133</v>
      </c>
      <c r="B31" s="66" t="s">
        <v>25</v>
      </c>
      <c r="C31" s="63" t="s">
        <v>11</v>
      </c>
      <c r="D31" s="28">
        <v>10.4</v>
      </c>
      <c r="E31" s="28">
        <f t="shared" si="2"/>
        <v>131.3</v>
      </c>
      <c r="F31" s="28">
        <f t="shared" si="3"/>
        <v>157.5</v>
      </c>
    </row>
    <row r="32" spans="1:6">
      <c r="A32" s="34" t="s">
        <v>460</v>
      </c>
      <c r="B32" s="41" t="s">
        <v>33</v>
      </c>
      <c r="C32" s="63" t="s">
        <v>11</v>
      </c>
      <c r="D32" s="28">
        <v>10.4</v>
      </c>
      <c r="E32" s="28">
        <f t="shared" si="2"/>
        <v>131.3</v>
      </c>
      <c r="F32" s="28">
        <f t="shared" si="3"/>
        <v>157.5</v>
      </c>
    </row>
    <row r="33" spans="1:6">
      <c r="A33" s="34" t="s">
        <v>912</v>
      </c>
      <c r="B33" s="38" t="s">
        <v>42</v>
      </c>
      <c r="C33" s="63" t="s">
        <v>11</v>
      </c>
      <c r="D33" s="28">
        <v>10.4</v>
      </c>
      <c r="E33" s="28">
        <f t="shared" si="2"/>
        <v>131.3</v>
      </c>
      <c r="F33" s="28">
        <f t="shared" si="3"/>
        <v>157.5</v>
      </c>
    </row>
    <row r="34" spans="1:6">
      <c r="A34" s="28" t="s">
        <v>523</v>
      </c>
      <c r="B34" s="35" t="s">
        <v>37</v>
      </c>
      <c r="C34" s="63" t="s">
        <v>11</v>
      </c>
      <c r="D34" s="28">
        <v>10.4</v>
      </c>
      <c r="E34" s="28">
        <f t="shared" si="2"/>
        <v>131.3</v>
      </c>
      <c r="F34" s="28">
        <f t="shared" si="3"/>
        <v>157.5</v>
      </c>
    </row>
    <row r="35" ht="17.4" spans="1:6">
      <c r="A35" s="62" t="s">
        <v>1359</v>
      </c>
      <c r="B35" s="62"/>
      <c r="C35" s="62"/>
      <c r="D35" s="62"/>
      <c r="E35" s="62"/>
      <c r="F35" s="62"/>
    </row>
    <row r="36" spans="1:6">
      <c r="A36" s="34" t="s">
        <v>285</v>
      </c>
      <c r="B36" s="37" t="s">
        <v>27</v>
      </c>
      <c r="C36" s="63" t="s">
        <v>11</v>
      </c>
      <c r="D36" s="28">
        <v>10.8</v>
      </c>
      <c r="E36" s="28">
        <f t="shared" ref="E36:E65" si="4">ROUNDDOWN(D36*12.5*100/99,1)</f>
        <v>136.3</v>
      </c>
      <c r="F36" s="28">
        <f t="shared" ref="F36:F65" si="5">ROUNDDOWN(D36*12.5*120/99,1)</f>
        <v>163.6</v>
      </c>
    </row>
    <row r="37" spans="1:6">
      <c r="A37" s="28" t="s">
        <v>1190</v>
      </c>
      <c r="B37" s="68" t="s">
        <v>1360</v>
      </c>
      <c r="C37" s="63" t="s">
        <v>11</v>
      </c>
      <c r="D37" s="28">
        <v>10.7</v>
      </c>
      <c r="E37" s="28">
        <f t="shared" si="4"/>
        <v>135.1</v>
      </c>
      <c r="F37" s="28">
        <f t="shared" si="5"/>
        <v>162.1</v>
      </c>
    </row>
    <row r="38" spans="1:6">
      <c r="A38" s="34" t="s">
        <v>533</v>
      </c>
      <c r="B38" s="35" t="s">
        <v>37</v>
      </c>
      <c r="C38" s="63" t="s">
        <v>11</v>
      </c>
      <c r="D38" s="28">
        <v>10.7</v>
      </c>
      <c r="E38" s="28">
        <f t="shared" si="4"/>
        <v>135.1</v>
      </c>
      <c r="F38" s="28">
        <f t="shared" si="5"/>
        <v>162.1</v>
      </c>
    </row>
    <row r="39" spans="1:6">
      <c r="A39" s="28" t="s">
        <v>960</v>
      </c>
      <c r="B39" s="40" t="s">
        <v>46</v>
      </c>
      <c r="C39" s="63" t="s">
        <v>11</v>
      </c>
      <c r="D39" s="28">
        <v>10.7</v>
      </c>
      <c r="E39" s="28">
        <f t="shared" si="4"/>
        <v>135.1</v>
      </c>
      <c r="F39" s="28">
        <f t="shared" si="5"/>
        <v>162.1</v>
      </c>
    </row>
    <row r="40" spans="1:6">
      <c r="A40" s="34" t="s">
        <v>52</v>
      </c>
      <c r="B40" s="69" t="s">
        <v>17</v>
      </c>
      <c r="C40" s="63" t="s">
        <v>11</v>
      </c>
      <c r="D40" s="28">
        <v>10.7</v>
      </c>
      <c r="E40" s="28">
        <f t="shared" si="4"/>
        <v>135.1</v>
      </c>
      <c r="F40" s="28">
        <f t="shared" si="5"/>
        <v>162.1</v>
      </c>
    </row>
    <row r="41" spans="1:6">
      <c r="A41" s="34" t="s">
        <v>174</v>
      </c>
      <c r="B41" s="37" t="s">
        <v>27</v>
      </c>
      <c r="C41" s="63" t="s">
        <v>11</v>
      </c>
      <c r="D41" s="28">
        <v>10.7</v>
      </c>
      <c r="E41" s="28">
        <f t="shared" si="4"/>
        <v>135.1</v>
      </c>
      <c r="F41" s="28">
        <f t="shared" si="5"/>
        <v>162.1</v>
      </c>
    </row>
    <row r="42" spans="1:6">
      <c r="A42" s="34" t="s">
        <v>190</v>
      </c>
      <c r="B42" s="37" t="s">
        <v>27</v>
      </c>
      <c r="C42" s="63" t="s">
        <v>11</v>
      </c>
      <c r="D42" s="28">
        <v>10.7</v>
      </c>
      <c r="E42" s="28">
        <f t="shared" si="4"/>
        <v>135.1</v>
      </c>
      <c r="F42" s="28">
        <f t="shared" si="5"/>
        <v>162.1</v>
      </c>
    </row>
    <row r="43" spans="1:6">
      <c r="A43" s="28" t="s">
        <v>1361</v>
      </c>
      <c r="B43" s="68" t="s">
        <v>1360</v>
      </c>
      <c r="C43" s="63" t="s">
        <v>11</v>
      </c>
      <c r="D43" s="28">
        <v>10.6</v>
      </c>
      <c r="E43" s="28">
        <f t="shared" si="4"/>
        <v>133.8</v>
      </c>
      <c r="F43" s="28">
        <f t="shared" si="5"/>
        <v>160.6</v>
      </c>
    </row>
    <row r="44" spans="1:6">
      <c r="A44" s="28" t="s">
        <v>127</v>
      </c>
      <c r="B44" s="66" t="s">
        <v>25</v>
      </c>
      <c r="C44" s="63" t="s">
        <v>11</v>
      </c>
      <c r="D44" s="28">
        <v>10.6</v>
      </c>
      <c r="E44" s="28">
        <f t="shared" si="4"/>
        <v>133.8</v>
      </c>
      <c r="F44" s="28">
        <f t="shared" si="5"/>
        <v>160.6</v>
      </c>
    </row>
    <row r="45" spans="1:6">
      <c r="A45" s="28" t="s">
        <v>450</v>
      </c>
      <c r="B45" s="41" t="s">
        <v>33</v>
      </c>
      <c r="C45" s="63" t="s">
        <v>11</v>
      </c>
      <c r="D45" s="28">
        <v>10.6</v>
      </c>
      <c r="E45" s="28">
        <f t="shared" si="4"/>
        <v>133.8</v>
      </c>
      <c r="F45" s="28">
        <f t="shared" si="5"/>
        <v>160.6</v>
      </c>
    </row>
    <row r="46" spans="1:6">
      <c r="A46" s="34" t="s">
        <v>249</v>
      </c>
      <c r="B46" s="37" t="s">
        <v>27</v>
      </c>
      <c r="C46" s="63" t="s">
        <v>11</v>
      </c>
      <c r="D46" s="28">
        <v>10.6</v>
      </c>
      <c r="E46" s="28">
        <f t="shared" si="4"/>
        <v>133.8</v>
      </c>
      <c r="F46" s="28">
        <f t="shared" si="5"/>
        <v>160.6</v>
      </c>
    </row>
    <row r="47" spans="1:6">
      <c r="A47" s="34" t="s">
        <v>200</v>
      </c>
      <c r="B47" s="37" t="s">
        <v>27</v>
      </c>
      <c r="C47" s="63" t="s">
        <v>11</v>
      </c>
      <c r="D47" s="28">
        <v>10.6</v>
      </c>
      <c r="E47" s="28">
        <f t="shared" si="4"/>
        <v>133.8</v>
      </c>
      <c r="F47" s="28">
        <f t="shared" si="5"/>
        <v>160.6</v>
      </c>
    </row>
    <row r="48" spans="1:6">
      <c r="A48" s="28" t="s">
        <v>983</v>
      </c>
      <c r="B48" s="40" t="s">
        <v>46</v>
      </c>
      <c r="C48" s="63" t="s">
        <v>11</v>
      </c>
      <c r="D48" s="28">
        <v>10.5</v>
      </c>
      <c r="E48" s="28">
        <f t="shared" si="4"/>
        <v>132.5</v>
      </c>
      <c r="F48" s="28">
        <f t="shared" si="5"/>
        <v>159</v>
      </c>
    </row>
    <row r="49" spans="1:6">
      <c r="A49" s="28" t="s">
        <v>1242</v>
      </c>
      <c r="B49" s="68" t="s">
        <v>1360</v>
      </c>
      <c r="C49" s="63" t="s">
        <v>11</v>
      </c>
      <c r="D49" s="28">
        <v>10.5</v>
      </c>
      <c r="E49" s="28">
        <f t="shared" si="4"/>
        <v>132.5</v>
      </c>
      <c r="F49" s="28">
        <f t="shared" si="5"/>
        <v>159</v>
      </c>
    </row>
    <row r="50" spans="1:6">
      <c r="A50" s="28" t="s">
        <v>1234</v>
      </c>
      <c r="B50" s="68" t="s">
        <v>1360</v>
      </c>
      <c r="C50" s="63" t="s">
        <v>11</v>
      </c>
      <c r="D50" s="28">
        <v>10.5</v>
      </c>
      <c r="E50" s="28">
        <f t="shared" si="4"/>
        <v>132.5</v>
      </c>
      <c r="F50" s="28">
        <f t="shared" si="5"/>
        <v>159</v>
      </c>
    </row>
    <row r="51" spans="1:6">
      <c r="A51" s="28" t="s">
        <v>225</v>
      </c>
      <c r="B51" s="37" t="s">
        <v>27</v>
      </c>
      <c r="C51" s="63" t="s">
        <v>11</v>
      </c>
      <c r="D51" s="28">
        <v>10.5</v>
      </c>
      <c r="E51" s="28">
        <f t="shared" si="4"/>
        <v>132.5</v>
      </c>
      <c r="F51" s="28">
        <f t="shared" si="5"/>
        <v>159</v>
      </c>
    </row>
    <row r="52" spans="1:6">
      <c r="A52" s="28" t="s">
        <v>533</v>
      </c>
      <c r="B52" s="35" t="s">
        <v>37</v>
      </c>
      <c r="C52" s="70" t="s">
        <v>10</v>
      </c>
      <c r="D52" s="28">
        <v>10.5</v>
      </c>
      <c r="E52" s="28">
        <f t="shared" si="4"/>
        <v>132.5</v>
      </c>
      <c r="F52" s="28">
        <f t="shared" si="5"/>
        <v>159</v>
      </c>
    </row>
    <row r="53" spans="1:6">
      <c r="A53" s="28" t="s">
        <v>565</v>
      </c>
      <c r="B53" s="35" t="s">
        <v>37</v>
      </c>
      <c r="C53" s="63" t="s">
        <v>11</v>
      </c>
      <c r="D53" s="28">
        <v>10.5</v>
      </c>
      <c r="E53" s="28">
        <f t="shared" si="4"/>
        <v>132.5</v>
      </c>
      <c r="F53" s="28">
        <f t="shared" si="5"/>
        <v>159</v>
      </c>
    </row>
    <row r="54" spans="1:6">
      <c r="A54" s="34" t="s">
        <v>922</v>
      </c>
      <c r="B54" s="38" t="s">
        <v>42</v>
      </c>
      <c r="C54" s="63" t="s">
        <v>11</v>
      </c>
      <c r="D54" s="28">
        <v>10.5</v>
      </c>
      <c r="E54" s="28">
        <f t="shared" si="4"/>
        <v>132.5</v>
      </c>
      <c r="F54" s="28">
        <f t="shared" si="5"/>
        <v>159</v>
      </c>
    </row>
    <row r="55" spans="1:6">
      <c r="A55" s="34" t="s">
        <v>149</v>
      </c>
      <c r="B55" s="66" t="s">
        <v>25</v>
      </c>
      <c r="C55" s="63" t="s">
        <v>11</v>
      </c>
      <c r="D55" s="28">
        <v>10.5</v>
      </c>
      <c r="E55" s="28">
        <f t="shared" si="4"/>
        <v>132.5</v>
      </c>
      <c r="F55" s="28">
        <f t="shared" si="5"/>
        <v>159</v>
      </c>
    </row>
    <row r="56" spans="1:6">
      <c r="A56" s="28" t="s">
        <v>472</v>
      </c>
      <c r="B56" s="41" t="s">
        <v>33</v>
      </c>
      <c r="C56" s="63" t="s">
        <v>11</v>
      </c>
      <c r="D56" s="28">
        <v>10.5</v>
      </c>
      <c r="E56" s="28">
        <f t="shared" si="4"/>
        <v>132.5</v>
      </c>
      <c r="F56" s="28">
        <f t="shared" si="5"/>
        <v>159</v>
      </c>
    </row>
    <row r="57" spans="1:6">
      <c r="A57" s="28" t="s">
        <v>91</v>
      </c>
      <c r="B57" s="67" t="s">
        <v>21</v>
      </c>
      <c r="C57" s="63" t="s">
        <v>11</v>
      </c>
      <c r="D57" s="28">
        <v>10.5</v>
      </c>
      <c r="E57" s="28">
        <f t="shared" si="4"/>
        <v>132.5</v>
      </c>
      <c r="F57" s="28">
        <f t="shared" si="5"/>
        <v>159</v>
      </c>
    </row>
    <row r="58" spans="1:6">
      <c r="A58" s="28" t="s">
        <v>87</v>
      </c>
      <c r="B58" s="67" t="s">
        <v>21</v>
      </c>
      <c r="C58" s="63" t="s">
        <v>11</v>
      </c>
      <c r="D58" s="28">
        <v>10.5</v>
      </c>
      <c r="E58" s="28">
        <f t="shared" si="4"/>
        <v>132.5</v>
      </c>
      <c r="F58" s="28">
        <f t="shared" si="5"/>
        <v>159</v>
      </c>
    </row>
    <row r="59" spans="1:6">
      <c r="A59" s="28" t="s">
        <v>1362</v>
      </c>
      <c r="B59" s="40" t="s">
        <v>46</v>
      </c>
      <c r="C59" s="63" t="s">
        <v>11</v>
      </c>
      <c r="D59" s="28">
        <v>10.5</v>
      </c>
      <c r="E59" s="28">
        <f t="shared" si="4"/>
        <v>132.5</v>
      </c>
      <c r="F59" s="28">
        <f t="shared" si="5"/>
        <v>159</v>
      </c>
    </row>
    <row r="60" spans="1:6">
      <c r="A60" s="28" t="s">
        <v>989</v>
      </c>
      <c r="B60" s="40" t="s">
        <v>46</v>
      </c>
      <c r="C60" s="63" t="s">
        <v>11</v>
      </c>
      <c r="D60" s="28">
        <v>10.4</v>
      </c>
      <c r="E60" s="28">
        <f t="shared" si="4"/>
        <v>131.3</v>
      </c>
      <c r="F60" s="28">
        <f t="shared" si="5"/>
        <v>157.5</v>
      </c>
    </row>
    <row r="61" spans="1:6">
      <c r="A61" s="28" t="s">
        <v>981</v>
      </c>
      <c r="B61" s="40" t="s">
        <v>46</v>
      </c>
      <c r="C61" s="63" t="s">
        <v>11</v>
      </c>
      <c r="D61" s="28">
        <v>10.4</v>
      </c>
      <c r="E61" s="28">
        <f t="shared" si="4"/>
        <v>131.3</v>
      </c>
      <c r="F61" s="28">
        <f t="shared" si="5"/>
        <v>157.5</v>
      </c>
    </row>
    <row r="62" spans="1:6">
      <c r="A62" s="28" t="s">
        <v>934</v>
      </c>
      <c r="B62" s="40" t="s">
        <v>46</v>
      </c>
      <c r="C62" s="63" t="s">
        <v>11</v>
      </c>
      <c r="D62" s="28">
        <v>10.4</v>
      </c>
      <c r="E62" s="28">
        <f t="shared" si="4"/>
        <v>131.3</v>
      </c>
      <c r="F62" s="28">
        <f t="shared" si="5"/>
        <v>157.5</v>
      </c>
    </row>
    <row r="63" spans="1:6">
      <c r="A63" s="28" t="s">
        <v>303</v>
      </c>
      <c r="B63" s="37" t="s">
        <v>27</v>
      </c>
      <c r="C63" s="63" t="s">
        <v>11</v>
      </c>
      <c r="D63" s="28">
        <v>10.4</v>
      </c>
      <c r="E63" s="28">
        <f t="shared" si="4"/>
        <v>131.3</v>
      </c>
      <c r="F63" s="28">
        <f t="shared" si="5"/>
        <v>157.5</v>
      </c>
    </row>
    <row r="64" spans="1:6">
      <c r="A64" s="28" t="s">
        <v>533</v>
      </c>
      <c r="B64" s="35" t="s">
        <v>37</v>
      </c>
      <c r="C64" s="71" t="s">
        <v>9</v>
      </c>
      <c r="D64" s="28">
        <v>10.4</v>
      </c>
      <c r="E64" s="28">
        <f t="shared" si="4"/>
        <v>131.3</v>
      </c>
      <c r="F64" s="28">
        <f t="shared" si="5"/>
        <v>157.5</v>
      </c>
    </row>
    <row r="65" spans="1:6">
      <c r="A65" s="28" t="s">
        <v>559</v>
      </c>
      <c r="B65" s="35" t="s">
        <v>37</v>
      </c>
      <c r="C65" s="63" t="s">
        <v>11</v>
      </c>
      <c r="D65" s="28">
        <v>10.4</v>
      </c>
      <c r="E65" s="28">
        <f t="shared" si="4"/>
        <v>131.3</v>
      </c>
      <c r="F65" s="28">
        <f t="shared" si="5"/>
        <v>157.5</v>
      </c>
    </row>
  </sheetData>
  <autoFilter xmlns:etc="http://www.wps.cn/officeDocument/2017/etCustomData" ref="A3:F65" etc:filterBottomFollowUsedRange="0">
    <extLst/>
  </autoFilter>
  <mergeCells count="3">
    <mergeCell ref="A4:F4"/>
    <mergeCell ref="A35:F35"/>
    <mergeCell ref="A1:F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zoomScale="85" zoomScaleNormal="85" workbookViewId="0">
      <selection activeCell="G48" sqref="G48"/>
    </sheetView>
  </sheetViews>
  <sheetFormatPr defaultColWidth="9" defaultRowHeight="14.4"/>
  <cols>
    <col min="1" max="1" width="46.7777777777778" style="28" customWidth="1"/>
    <col min="2" max="2" width="17.7777777777778" style="28" customWidth="1"/>
    <col min="3" max="3" width="11.7222222222222" style="28" customWidth="1"/>
    <col min="4" max="4" width="8.26851851851852" style="28" customWidth="1"/>
    <col min="5" max="5" width="21.7222222222222" style="28" customWidth="1"/>
    <col min="6" max="6" width="22.462962962963" style="28" customWidth="1"/>
    <col min="7" max="7" width="17.0277777777778" style="28" customWidth="1"/>
    <col min="8" max="8" width="15.9259259259259" style="28" customWidth="1"/>
    <col min="9" max="9" width="12.462962962963" style="28" customWidth="1"/>
    <col min="10" max="16384" width="9" style="28"/>
  </cols>
  <sheetData>
    <row r="1" ht="34" customHeight="1" spans="1:15">
      <c r="A1" s="45" t="s">
        <v>1363</v>
      </c>
      <c r="B1" s="45"/>
      <c r="C1" s="45"/>
      <c r="D1" s="45"/>
      <c r="E1" s="45"/>
      <c r="F1" s="45"/>
      <c r="G1" s="46" t="s">
        <v>1364</v>
      </c>
      <c r="H1" s="46" t="s">
        <v>1365</v>
      </c>
    </row>
    <row r="2" ht="18.6" spans="1:15">
      <c r="A2" s="45"/>
      <c r="B2" s="45"/>
      <c r="C2" s="45"/>
      <c r="D2" s="45"/>
      <c r="E2" s="45"/>
      <c r="F2" s="45"/>
      <c r="G2" s="47">
        <f>SUM(E5:E34)+SUM(E36:E65)</f>
        <v>8034.7</v>
      </c>
      <c r="H2" s="48">
        <f>SUM(F5:F34)+SUM(F36:F65)</f>
        <v>9641.9</v>
      </c>
      <c r="J2" s="28" t="s">
        <v>1366</v>
      </c>
    </row>
    <row r="3" ht="28.8" spans="1:15">
      <c r="A3" s="28" t="s">
        <v>1351</v>
      </c>
      <c r="B3" s="28" t="s">
        <v>1352</v>
      </c>
      <c r="C3" s="28" t="s">
        <v>1353</v>
      </c>
      <c r="D3" s="28" t="s">
        <v>1354</v>
      </c>
      <c r="E3" s="49" t="s">
        <v>1367</v>
      </c>
      <c r="F3" s="49" t="s">
        <v>1368</v>
      </c>
    </row>
    <row r="4" ht="17.4" spans="1:15">
      <c r="A4" s="50" t="s">
        <v>1357</v>
      </c>
      <c r="B4" s="50"/>
      <c r="C4" s="50"/>
      <c r="D4" s="50"/>
      <c r="E4" s="50"/>
      <c r="F4" s="50"/>
      <c r="J4" s="51">
        <v>10.9</v>
      </c>
      <c r="K4" s="51">
        <v>10.8</v>
      </c>
      <c r="L4" s="52">
        <v>10.7</v>
      </c>
      <c r="M4" s="53">
        <v>10.6</v>
      </c>
      <c r="N4" s="54">
        <v>10.5</v>
      </c>
      <c r="O4" s="55">
        <v>10.4</v>
      </c>
    </row>
    <row r="5" ht="15.6" spans="1:15">
      <c r="A5" s="7" t="s">
        <v>285</v>
      </c>
      <c r="B5" s="10" t="s">
        <v>27</v>
      </c>
      <c r="C5" s="5" t="s">
        <v>11</v>
      </c>
      <c r="D5" s="6">
        <v>10.8</v>
      </c>
      <c r="E5" s="56">
        <f t="shared" ref="E5:E15" si="0">ROUNDDOWN(D5*12.5*100/99,1)</f>
        <v>136.3</v>
      </c>
      <c r="F5" s="56">
        <f t="shared" ref="F5:F15" si="1">ROUNDDOWN(D5*12.5*120/99,1)</f>
        <v>163.6</v>
      </c>
      <c r="I5" s="28" t="s">
        <v>1369</v>
      </c>
      <c r="J5" s="57">
        <f>COUNTIF(D:D,"10.9")</f>
        <v>2</v>
      </c>
      <c r="K5" s="57">
        <f>COUNTIF(D:D,"10.8")</f>
        <v>1</v>
      </c>
      <c r="L5" s="57">
        <f>COUNTIF(D:D,"10.7")</f>
        <v>18</v>
      </c>
      <c r="M5" s="57">
        <f>COUNTIF(D:D,"10.6")</f>
        <v>23</v>
      </c>
      <c r="N5" s="28">
        <f>COUNTIF(D:D,"10.5")</f>
        <v>11</v>
      </c>
      <c r="O5" s="28">
        <f>COUNTIF(D:D,"10.4")</f>
        <v>5</v>
      </c>
    </row>
    <row r="6" ht="15.6" spans="1:15">
      <c r="A6" s="7" t="s">
        <v>685</v>
      </c>
      <c r="B6" s="8" t="s">
        <v>39</v>
      </c>
      <c r="C6" s="5" t="s">
        <v>11</v>
      </c>
      <c r="D6" s="18">
        <v>10.7</v>
      </c>
      <c r="E6" s="56">
        <f t="shared" si="0"/>
        <v>135.1</v>
      </c>
      <c r="F6" s="56">
        <f t="shared" si="1"/>
        <v>162.1</v>
      </c>
      <c r="I6" s="28" t="s">
        <v>1370</v>
      </c>
      <c r="J6" s="28">
        <f>COUNTIF(D5:D34,"10.9")</f>
        <v>0</v>
      </c>
      <c r="K6" s="28">
        <f>COUNTIF(D5:D34,"10.8")</f>
        <v>1</v>
      </c>
      <c r="L6" s="28">
        <f>COUNTIF(D5:D34,"10.7")</f>
        <v>10</v>
      </c>
      <c r="M6" s="28">
        <f>COUNTIF(D5:D34,"10.6")</f>
        <v>17</v>
      </c>
      <c r="N6" s="28">
        <f>COUNTIF(D5:D34,"10.5")</f>
        <v>2</v>
      </c>
      <c r="O6" s="28">
        <f>COUNTIF(D5:D34,"10.4")</f>
        <v>0</v>
      </c>
    </row>
    <row r="7" ht="15.6" spans="1:15">
      <c r="A7" s="7" t="s">
        <v>277</v>
      </c>
      <c r="B7" s="10" t="s">
        <v>27</v>
      </c>
      <c r="C7" s="5" t="s">
        <v>11</v>
      </c>
      <c r="D7" s="18">
        <v>10.7</v>
      </c>
      <c r="E7" s="56">
        <f t="shared" si="0"/>
        <v>135.1</v>
      </c>
      <c r="F7" s="56">
        <f t="shared" si="1"/>
        <v>162.1</v>
      </c>
      <c r="I7" s="28" t="s">
        <v>1371</v>
      </c>
      <c r="J7" s="28">
        <f>COUNTIF(D36:D65,"10.9")</f>
        <v>2</v>
      </c>
      <c r="K7" s="28">
        <f>COUNTIF(D36:D65,"10.8")</f>
        <v>0</v>
      </c>
      <c r="L7" s="28">
        <f>COUNTIF(D36:D65,"10.7")</f>
        <v>8</v>
      </c>
      <c r="M7" s="28">
        <f>COUNTIF(D36:D65,"10.6")</f>
        <v>6</v>
      </c>
      <c r="N7" s="28">
        <f>COUNTIF(D36:D65,"10.5")</f>
        <v>9</v>
      </c>
      <c r="O7" s="28">
        <f>COUNTIF(D36:D65,"10.4")</f>
        <v>5</v>
      </c>
    </row>
    <row r="8" ht="15.6" spans="1:15">
      <c r="A8" s="7" t="s">
        <v>221</v>
      </c>
      <c r="B8" s="10" t="s">
        <v>27</v>
      </c>
      <c r="C8" s="5" t="s">
        <v>11</v>
      </c>
      <c r="D8" s="18">
        <v>10.7</v>
      </c>
      <c r="E8" s="56">
        <f t="shared" si="0"/>
        <v>135.1</v>
      </c>
      <c r="F8" s="56">
        <f t="shared" si="1"/>
        <v>162.1</v>
      </c>
    </row>
    <row r="9" ht="15.6" spans="1:15">
      <c r="A9" s="7" t="s">
        <v>533</v>
      </c>
      <c r="B9" s="19" t="s">
        <v>37</v>
      </c>
      <c r="C9" s="5" t="s">
        <v>11</v>
      </c>
      <c r="D9" s="18">
        <v>10.7</v>
      </c>
      <c r="E9" s="56">
        <f t="shared" si="0"/>
        <v>135.1</v>
      </c>
      <c r="F9" s="56">
        <f t="shared" si="1"/>
        <v>162.1</v>
      </c>
    </row>
    <row r="10" ht="15.6" spans="1:15">
      <c r="A10" s="7" t="s">
        <v>726</v>
      </c>
      <c r="B10" s="14" t="s">
        <v>42</v>
      </c>
      <c r="C10" s="5" t="s">
        <v>11</v>
      </c>
      <c r="D10" s="18">
        <v>10.7</v>
      </c>
      <c r="E10" s="56">
        <f t="shared" si="0"/>
        <v>135.1</v>
      </c>
      <c r="F10" s="56">
        <f t="shared" si="1"/>
        <v>162.1</v>
      </c>
    </row>
    <row r="11" ht="15.6" spans="1:15">
      <c r="A11" s="7" t="s">
        <v>52</v>
      </c>
      <c r="B11" s="58" t="s">
        <v>17</v>
      </c>
      <c r="C11" s="5" t="s">
        <v>11</v>
      </c>
      <c r="D11" s="18">
        <v>10.7</v>
      </c>
      <c r="E11" s="56">
        <f t="shared" si="0"/>
        <v>135.1</v>
      </c>
      <c r="F11" s="56">
        <f t="shared" si="1"/>
        <v>162.1</v>
      </c>
    </row>
    <row r="12" ht="15.6" spans="1:15">
      <c r="A12" s="7" t="s">
        <v>174</v>
      </c>
      <c r="B12" s="10" t="s">
        <v>27</v>
      </c>
      <c r="C12" s="5" t="s">
        <v>11</v>
      </c>
      <c r="D12" s="18">
        <v>10.7</v>
      </c>
      <c r="E12" s="56">
        <f t="shared" si="0"/>
        <v>135.1</v>
      </c>
      <c r="F12" s="56">
        <f t="shared" si="1"/>
        <v>162.1</v>
      </c>
    </row>
    <row r="13" ht="15.6" spans="1:15">
      <c r="A13" s="7" t="s">
        <v>190</v>
      </c>
      <c r="B13" s="10" t="s">
        <v>27</v>
      </c>
      <c r="C13" s="5" t="s">
        <v>11</v>
      </c>
      <c r="D13" s="18">
        <v>10.7</v>
      </c>
      <c r="E13" s="56">
        <f t="shared" si="0"/>
        <v>135.1</v>
      </c>
      <c r="F13" s="56">
        <f t="shared" si="1"/>
        <v>162.1</v>
      </c>
    </row>
    <row r="14" ht="15.6" spans="1:15">
      <c r="A14" s="7" t="s">
        <v>430</v>
      </c>
      <c r="B14" s="17" t="s">
        <v>30</v>
      </c>
      <c r="C14" s="5" t="s">
        <v>11</v>
      </c>
      <c r="D14" s="18">
        <v>10.7</v>
      </c>
      <c r="E14" s="56">
        <f t="shared" si="0"/>
        <v>135.1</v>
      </c>
      <c r="F14" s="56">
        <f t="shared" si="1"/>
        <v>162.1</v>
      </c>
    </row>
    <row r="15" ht="15.6" spans="1:15">
      <c r="A15" s="7" t="s">
        <v>929</v>
      </c>
      <c r="B15" s="14" t="s">
        <v>42</v>
      </c>
      <c r="C15" s="5" t="s">
        <v>11</v>
      </c>
      <c r="D15" s="18">
        <v>10.7</v>
      </c>
      <c r="E15" s="56">
        <f t="shared" si="0"/>
        <v>135.1</v>
      </c>
      <c r="F15" s="56">
        <f t="shared" si="1"/>
        <v>162.1</v>
      </c>
    </row>
    <row r="16" ht="15.6" spans="1:15">
      <c r="A16" s="7" t="s">
        <v>855</v>
      </c>
      <c r="B16" s="14" t="s">
        <v>42</v>
      </c>
      <c r="C16" s="5" t="s">
        <v>11</v>
      </c>
      <c r="D16" s="20">
        <v>10.6</v>
      </c>
      <c r="E16" s="56">
        <f t="shared" ref="E16:E36" si="2">ROUNDDOWN(D16*12.5*100/99,1)</f>
        <v>133.8</v>
      </c>
      <c r="F16" s="56">
        <f t="shared" ref="F16:F36" si="3">ROUNDDOWN(D16*12.5*120/99,1)</f>
        <v>160.6</v>
      </c>
    </row>
    <row r="17" ht="15.6" spans="1:6">
      <c r="A17" s="7" t="s">
        <v>673</v>
      </c>
      <c r="B17" s="8" t="s">
        <v>39</v>
      </c>
      <c r="C17" s="5" t="s">
        <v>11</v>
      </c>
      <c r="D17" s="20">
        <v>10.6</v>
      </c>
      <c r="E17" s="56">
        <f t="shared" si="2"/>
        <v>133.8</v>
      </c>
      <c r="F17" s="56">
        <f t="shared" si="3"/>
        <v>160.6</v>
      </c>
    </row>
    <row r="18" ht="15.6" spans="1:6">
      <c r="A18" s="7" t="s">
        <v>811</v>
      </c>
      <c r="B18" s="14" t="s">
        <v>42</v>
      </c>
      <c r="C18" s="5" t="s">
        <v>11</v>
      </c>
      <c r="D18" s="20">
        <v>10.6</v>
      </c>
      <c r="E18" s="56">
        <f t="shared" si="2"/>
        <v>133.8</v>
      </c>
      <c r="F18" s="56">
        <f t="shared" si="3"/>
        <v>160.6</v>
      </c>
    </row>
    <row r="19" ht="15.6" spans="1:6">
      <c r="A19" s="25" t="s">
        <v>665</v>
      </c>
      <c r="B19" s="8" t="s">
        <v>39</v>
      </c>
      <c r="C19" s="5" t="s">
        <v>11</v>
      </c>
      <c r="D19" s="20">
        <v>10.6</v>
      </c>
      <c r="E19" s="56">
        <f t="shared" si="2"/>
        <v>133.8</v>
      </c>
      <c r="F19" s="56">
        <f t="shared" si="3"/>
        <v>160.6</v>
      </c>
    </row>
    <row r="20" ht="15.6" spans="1:6">
      <c r="A20" s="25" t="s">
        <v>656</v>
      </c>
      <c r="B20" s="8" t="s">
        <v>39</v>
      </c>
      <c r="C20" s="5" t="s">
        <v>11</v>
      </c>
      <c r="D20" s="20">
        <v>10.6</v>
      </c>
      <c r="E20" s="56">
        <f t="shared" si="2"/>
        <v>133.8</v>
      </c>
      <c r="F20" s="56">
        <f t="shared" si="3"/>
        <v>160.6</v>
      </c>
    </row>
    <row r="21" ht="15.6" spans="1:6">
      <c r="A21" s="25" t="s">
        <v>650</v>
      </c>
      <c r="B21" s="8" t="s">
        <v>39</v>
      </c>
      <c r="C21" s="5" t="s">
        <v>11</v>
      </c>
      <c r="D21" s="20">
        <v>10.6</v>
      </c>
      <c r="E21" s="56">
        <f t="shared" si="2"/>
        <v>133.8</v>
      </c>
      <c r="F21" s="56">
        <f t="shared" si="3"/>
        <v>160.6</v>
      </c>
    </row>
    <row r="22" ht="15.6" spans="1:6">
      <c r="A22" s="7" t="s">
        <v>896</v>
      </c>
      <c r="B22" s="14" t="s">
        <v>42</v>
      </c>
      <c r="C22" s="5" t="s">
        <v>11</v>
      </c>
      <c r="D22" s="20">
        <v>10.6</v>
      </c>
      <c r="E22" s="56">
        <f t="shared" si="2"/>
        <v>133.8</v>
      </c>
      <c r="F22" s="56">
        <f t="shared" si="3"/>
        <v>160.6</v>
      </c>
    </row>
    <row r="23" ht="15.6" spans="1:6">
      <c r="A23" s="25" t="s">
        <v>22</v>
      </c>
      <c r="B23" s="59" t="s">
        <v>12</v>
      </c>
      <c r="C23" s="5" t="s">
        <v>11</v>
      </c>
      <c r="D23" s="20">
        <v>10.6</v>
      </c>
      <c r="E23" s="56">
        <f t="shared" si="2"/>
        <v>133.8</v>
      </c>
      <c r="F23" s="56">
        <f t="shared" si="3"/>
        <v>160.6</v>
      </c>
    </row>
    <row r="24" ht="15.6" spans="1:6">
      <c r="A24" s="7" t="s">
        <v>479</v>
      </c>
      <c r="B24" s="27" t="s">
        <v>33</v>
      </c>
      <c r="C24" s="5" t="s">
        <v>11</v>
      </c>
      <c r="D24" s="20">
        <v>10.6</v>
      </c>
      <c r="E24" s="56">
        <f t="shared" si="2"/>
        <v>133.8</v>
      </c>
      <c r="F24" s="56">
        <f t="shared" si="3"/>
        <v>160.6</v>
      </c>
    </row>
    <row r="25" ht="15.6" spans="1:6">
      <c r="A25" s="7" t="s">
        <v>646</v>
      </c>
      <c r="B25" s="8" t="s">
        <v>39</v>
      </c>
      <c r="C25" s="5" t="s">
        <v>11</v>
      </c>
      <c r="D25" s="20">
        <v>10.6</v>
      </c>
      <c r="E25" s="56">
        <f t="shared" si="2"/>
        <v>133.8</v>
      </c>
      <c r="F25" s="56">
        <f t="shared" si="3"/>
        <v>160.6</v>
      </c>
    </row>
    <row r="26" ht="15.6" spans="1:6">
      <c r="A26" s="25" t="s">
        <v>127</v>
      </c>
      <c r="B26" s="60" t="s">
        <v>25</v>
      </c>
      <c r="C26" s="5" t="s">
        <v>11</v>
      </c>
      <c r="D26" s="20">
        <v>10.6</v>
      </c>
      <c r="E26" s="56">
        <f t="shared" si="2"/>
        <v>133.8</v>
      </c>
      <c r="F26" s="56">
        <f t="shared" si="3"/>
        <v>160.6</v>
      </c>
    </row>
    <row r="27" ht="15.6" spans="1:6">
      <c r="A27" s="25" t="s">
        <v>450</v>
      </c>
      <c r="B27" s="27" t="s">
        <v>33</v>
      </c>
      <c r="C27" s="5" t="s">
        <v>11</v>
      </c>
      <c r="D27" s="20">
        <v>10.6</v>
      </c>
      <c r="E27" s="56">
        <f t="shared" si="2"/>
        <v>133.8</v>
      </c>
      <c r="F27" s="56">
        <f t="shared" si="3"/>
        <v>160.6</v>
      </c>
    </row>
    <row r="28" ht="15.6" spans="1:6">
      <c r="A28" s="7" t="s">
        <v>249</v>
      </c>
      <c r="B28" s="10" t="s">
        <v>27</v>
      </c>
      <c r="C28" s="5" t="s">
        <v>11</v>
      </c>
      <c r="D28" s="20">
        <v>10.6</v>
      </c>
      <c r="E28" s="56">
        <f t="shared" si="2"/>
        <v>133.8</v>
      </c>
      <c r="F28" s="56">
        <f t="shared" si="3"/>
        <v>160.6</v>
      </c>
    </row>
    <row r="29" ht="15.6" spans="1:6">
      <c r="A29" s="7" t="s">
        <v>200</v>
      </c>
      <c r="B29" s="10" t="s">
        <v>27</v>
      </c>
      <c r="C29" s="5" t="s">
        <v>11</v>
      </c>
      <c r="D29" s="20">
        <v>10.6</v>
      </c>
      <c r="E29" s="56">
        <f t="shared" si="2"/>
        <v>133.8</v>
      </c>
      <c r="F29" s="56">
        <f t="shared" si="3"/>
        <v>160.6</v>
      </c>
    </row>
    <row r="30" ht="15.6" spans="1:6">
      <c r="A30" s="7" t="s">
        <v>492</v>
      </c>
      <c r="B30" s="27" t="s">
        <v>33</v>
      </c>
      <c r="C30" s="5" t="s">
        <v>11</v>
      </c>
      <c r="D30" s="20">
        <v>10.6</v>
      </c>
      <c r="E30" s="56">
        <f t="shared" si="2"/>
        <v>133.8</v>
      </c>
      <c r="F30" s="56">
        <f t="shared" si="3"/>
        <v>160.6</v>
      </c>
    </row>
    <row r="31" ht="15.6" spans="1:6">
      <c r="A31" s="7" t="s">
        <v>398</v>
      </c>
      <c r="B31" s="17" t="s">
        <v>30</v>
      </c>
      <c r="C31" s="5" t="s">
        <v>11</v>
      </c>
      <c r="D31" s="20">
        <v>10.6</v>
      </c>
      <c r="E31" s="56">
        <f t="shared" si="2"/>
        <v>133.8</v>
      </c>
      <c r="F31" s="56">
        <f t="shared" si="3"/>
        <v>160.6</v>
      </c>
    </row>
    <row r="32" ht="15.6" spans="1:6">
      <c r="A32" s="7" t="s">
        <v>760</v>
      </c>
      <c r="B32" s="14" t="s">
        <v>42</v>
      </c>
      <c r="C32" s="5" t="s">
        <v>11</v>
      </c>
      <c r="D32" s="20">
        <v>10.6</v>
      </c>
      <c r="E32" s="56">
        <f t="shared" si="2"/>
        <v>133.8</v>
      </c>
      <c r="F32" s="56">
        <f t="shared" si="3"/>
        <v>160.6</v>
      </c>
    </row>
    <row r="33" ht="15.6" spans="1:6">
      <c r="A33" s="7" t="s">
        <v>380</v>
      </c>
      <c r="B33" s="10" t="s">
        <v>27</v>
      </c>
      <c r="C33" s="5" t="s">
        <v>11</v>
      </c>
      <c r="D33" s="21">
        <v>10.5</v>
      </c>
      <c r="E33" s="56">
        <f t="shared" si="2"/>
        <v>132.5</v>
      </c>
      <c r="F33" s="56">
        <f t="shared" si="3"/>
        <v>159</v>
      </c>
    </row>
    <row r="34" ht="15.6" spans="1:6">
      <c r="A34" s="7" t="s">
        <v>353</v>
      </c>
      <c r="B34" s="10" t="s">
        <v>27</v>
      </c>
      <c r="C34" s="5" t="s">
        <v>11</v>
      </c>
      <c r="D34" s="21">
        <v>10.5</v>
      </c>
      <c r="E34" s="56">
        <f t="shared" si="2"/>
        <v>132.5</v>
      </c>
      <c r="F34" s="56">
        <f t="shared" si="3"/>
        <v>159</v>
      </c>
    </row>
    <row r="35" ht="17.4" spans="1:6">
      <c r="A35" s="50" t="s">
        <v>1359</v>
      </c>
      <c r="B35" s="50"/>
      <c r="C35" s="50"/>
      <c r="D35" s="50"/>
      <c r="E35" s="50"/>
      <c r="F35" s="50"/>
    </row>
    <row r="36" ht="15.6" spans="1:6">
      <c r="A36" s="25" t="s">
        <v>858</v>
      </c>
      <c r="B36" s="14" t="s">
        <v>42</v>
      </c>
      <c r="C36" s="5" t="s">
        <v>11</v>
      </c>
      <c r="D36" s="6">
        <v>10.9</v>
      </c>
      <c r="E36" s="56">
        <f>ROUNDDOWN(D36*12.5*100/99,1)</f>
        <v>137.6</v>
      </c>
      <c r="F36" s="56">
        <f>ROUNDDOWN(D36*12.5*120/99,1)</f>
        <v>165.1</v>
      </c>
    </row>
    <row r="37" ht="15.6" spans="1:6">
      <c r="A37" s="61" t="s">
        <v>1214</v>
      </c>
      <c r="B37" s="4" t="s">
        <v>51</v>
      </c>
      <c r="C37" s="5" t="s">
        <v>11</v>
      </c>
      <c r="D37" s="6">
        <v>10.9</v>
      </c>
      <c r="E37" s="56">
        <f>ROUNDDOWN(D37*12.5*100/99,1)</f>
        <v>137.6</v>
      </c>
      <c r="F37" s="56">
        <f>ROUNDDOWN(D37*12.5*120/99,1)</f>
        <v>165.1</v>
      </c>
    </row>
    <row r="38" ht="15.6" spans="1:6">
      <c r="A38" s="25" t="s">
        <v>1190</v>
      </c>
      <c r="B38" s="4" t="s">
        <v>51</v>
      </c>
      <c r="C38" s="5" t="s">
        <v>11</v>
      </c>
      <c r="D38" s="18">
        <v>10.7</v>
      </c>
      <c r="E38" s="56">
        <f t="shared" ref="E38:E45" si="4">ROUNDDOWN(D38*12.5*100/99,1)</f>
        <v>135.1</v>
      </c>
      <c r="F38" s="56">
        <f t="shared" ref="F38:F45" si="5">ROUNDDOWN(D38*12.5*120/99,1)</f>
        <v>162.1</v>
      </c>
    </row>
    <row r="39" ht="15.6" spans="1:6">
      <c r="A39" s="25" t="s">
        <v>960</v>
      </c>
      <c r="B39" s="13" t="s">
        <v>46</v>
      </c>
      <c r="C39" s="5" t="s">
        <v>11</v>
      </c>
      <c r="D39" s="18">
        <v>10.7</v>
      </c>
      <c r="E39" s="56">
        <f t="shared" si="4"/>
        <v>135.1</v>
      </c>
      <c r="F39" s="56">
        <f t="shared" si="5"/>
        <v>162.1</v>
      </c>
    </row>
    <row r="40" ht="15.6" spans="1:6">
      <c r="A40" s="7" t="s">
        <v>970</v>
      </c>
      <c r="B40" s="13" t="s">
        <v>46</v>
      </c>
      <c r="C40" s="5" t="s">
        <v>11</v>
      </c>
      <c r="D40" s="18">
        <v>10.7</v>
      </c>
      <c r="E40" s="56">
        <f t="shared" si="4"/>
        <v>135.1</v>
      </c>
      <c r="F40" s="56">
        <f t="shared" si="5"/>
        <v>162.1</v>
      </c>
    </row>
    <row r="41" ht="15.6" spans="1:6">
      <c r="A41" s="7" t="s">
        <v>877</v>
      </c>
      <c r="B41" s="14" t="s">
        <v>42</v>
      </c>
      <c r="C41" s="5" t="s">
        <v>11</v>
      </c>
      <c r="D41" s="18">
        <v>10.7</v>
      </c>
      <c r="E41" s="56">
        <f t="shared" si="4"/>
        <v>135.1</v>
      </c>
      <c r="F41" s="56">
        <f t="shared" si="5"/>
        <v>162.1</v>
      </c>
    </row>
    <row r="42" ht="15.6" spans="1:6">
      <c r="A42" s="7" t="s">
        <v>763</v>
      </c>
      <c r="B42" s="14" t="s">
        <v>42</v>
      </c>
      <c r="C42" s="5" t="s">
        <v>11</v>
      </c>
      <c r="D42" s="18">
        <v>10.7</v>
      </c>
      <c r="E42" s="56">
        <f t="shared" si="4"/>
        <v>135.1</v>
      </c>
      <c r="F42" s="56">
        <f t="shared" si="5"/>
        <v>162.1</v>
      </c>
    </row>
    <row r="43" ht="15.6" spans="1:6">
      <c r="A43" s="7" t="s">
        <v>508</v>
      </c>
      <c r="B43" s="19" t="s">
        <v>37</v>
      </c>
      <c r="C43" s="5" t="s">
        <v>11</v>
      </c>
      <c r="D43" s="18">
        <v>10.7</v>
      </c>
      <c r="E43" s="56">
        <f t="shared" si="4"/>
        <v>135.1</v>
      </c>
      <c r="F43" s="56">
        <f t="shared" si="5"/>
        <v>162.1</v>
      </c>
    </row>
    <row r="44" ht="15.6" spans="1:6">
      <c r="A44" s="26" t="s">
        <v>519</v>
      </c>
      <c r="B44" s="19" t="s">
        <v>37</v>
      </c>
      <c r="C44" s="5" t="s">
        <v>11</v>
      </c>
      <c r="D44" s="18">
        <v>10.7</v>
      </c>
      <c r="E44" s="56">
        <f t="shared" si="4"/>
        <v>135.1</v>
      </c>
      <c r="F44" s="56">
        <f t="shared" si="5"/>
        <v>162.1</v>
      </c>
    </row>
    <row r="45" ht="15.6" spans="1:6">
      <c r="A45" s="3" t="s">
        <v>1219</v>
      </c>
      <c r="B45" s="4" t="s">
        <v>51</v>
      </c>
      <c r="C45" s="5" t="s">
        <v>11</v>
      </c>
      <c r="D45" s="18">
        <v>10.7</v>
      </c>
      <c r="E45" s="56">
        <f t="shared" si="4"/>
        <v>135.1</v>
      </c>
      <c r="F45" s="56">
        <f t="shared" si="5"/>
        <v>162.1</v>
      </c>
    </row>
    <row r="46" ht="15.6" spans="1:6">
      <c r="A46" s="25" t="s">
        <v>1361</v>
      </c>
      <c r="B46" s="4" t="s">
        <v>51</v>
      </c>
      <c r="C46" s="5" t="s">
        <v>11</v>
      </c>
      <c r="D46" s="20">
        <v>10.6</v>
      </c>
      <c r="E46" s="56">
        <f t="shared" ref="E46:E68" si="6">ROUNDDOWN(D46*12.5*100/99,1)</f>
        <v>133.8</v>
      </c>
      <c r="F46" s="56">
        <f t="shared" ref="F46:F68" si="7">ROUNDDOWN(D46*12.5*120/99,1)</f>
        <v>160.6</v>
      </c>
    </row>
    <row r="47" ht="15.6" spans="1:6">
      <c r="A47" s="7" t="s">
        <v>918</v>
      </c>
      <c r="B47" s="14" t="s">
        <v>42</v>
      </c>
      <c r="C47" s="5" t="s">
        <v>11</v>
      </c>
      <c r="D47" s="20">
        <v>10.6</v>
      </c>
      <c r="E47" s="56">
        <f t="shared" si="6"/>
        <v>133.8</v>
      </c>
      <c r="F47" s="56">
        <f t="shared" si="7"/>
        <v>160.6</v>
      </c>
    </row>
    <row r="48" ht="15.6" spans="1:6">
      <c r="A48" s="7" t="s">
        <v>948</v>
      </c>
      <c r="B48" s="13" t="s">
        <v>46</v>
      </c>
      <c r="C48" s="5" t="s">
        <v>11</v>
      </c>
      <c r="D48" s="20">
        <v>10.6</v>
      </c>
      <c r="E48" s="56">
        <f t="shared" si="6"/>
        <v>133.8</v>
      </c>
      <c r="F48" s="56">
        <f t="shared" si="7"/>
        <v>160.6</v>
      </c>
    </row>
    <row r="49" ht="15.6" spans="1:6">
      <c r="A49" s="7" t="s">
        <v>1200</v>
      </c>
      <c r="B49" s="4" t="s">
        <v>51</v>
      </c>
      <c r="C49" s="5" t="s">
        <v>11</v>
      </c>
      <c r="D49" s="20">
        <v>10.6</v>
      </c>
      <c r="E49" s="56">
        <f t="shared" si="6"/>
        <v>133.8</v>
      </c>
      <c r="F49" s="56">
        <f t="shared" si="7"/>
        <v>160.6</v>
      </c>
    </row>
    <row r="50" ht="15.6" spans="1:6">
      <c r="A50" s="7" t="s">
        <v>947</v>
      </c>
      <c r="B50" s="13" t="s">
        <v>46</v>
      </c>
      <c r="C50" s="5" t="s">
        <v>11</v>
      </c>
      <c r="D50" s="20">
        <v>10.6</v>
      </c>
      <c r="E50" s="56">
        <f t="shared" si="6"/>
        <v>133.8</v>
      </c>
      <c r="F50" s="56">
        <f t="shared" si="7"/>
        <v>160.6</v>
      </c>
    </row>
    <row r="51" ht="15.6" spans="1:6">
      <c r="A51" s="7" t="s">
        <v>686</v>
      </c>
      <c r="B51" s="8" t="s">
        <v>39</v>
      </c>
      <c r="C51" s="5" t="s">
        <v>11</v>
      </c>
      <c r="D51" s="20">
        <v>10.6</v>
      </c>
      <c r="E51" s="56">
        <f t="shared" si="6"/>
        <v>133.8</v>
      </c>
      <c r="F51" s="56">
        <f t="shared" si="7"/>
        <v>160.6</v>
      </c>
    </row>
    <row r="52" ht="15.6" spans="1:6">
      <c r="A52" s="25" t="s">
        <v>983</v>
      </c>
      <c r="B52" s="13" t="s">
        <v>46</v>
      </c>
      <c r="C52" s="5" t="s">
        <v>11</v>
      </c>
      <c r="D52" s="21">
        <v>10.5</v>
      </c>
      <c r="E52" s="56">
        <f t="shared" si="6"/>
        <v>132.5</v>
      </c>
      <c r="F52" s="56">
        <f t="shared" si="7"/>
        <v>159</v>
      </c>
    </row>
    <row r="53" ht="15.6" spans="1:6">
      <c r="A53" s="25" t="s">
        <v>1242</v>
      </c>
      <c r="B53" s="4" t="s">
        <v>51</v>
      </c>
      <c r="C53" s="5" t="s">
        <v>11</v>
      </c>
      <c r="D53" s="21">
        <v>10.5</v>
      </c>
      <c r="E53" s="56">
        <f t="shared" si="6"/>
        <v>132.5</v>
      </c>
      <c r="F53" s="56">
        <f t="shared" si="7"/>
        <v>159</v>
      </c>
    </row>
    <row r="54" ht="15.6" spans="1:6">
      <c r="A54" s="25" t="s">
        <v>1234</v>
      </c>
      <c r="B54" s="4" t="s">
        <v>51</v>
      </c>
      <c r="C54" s="5" t="s">
        <v>11</v>
      </c>
      <c r="D54" s="21">
        <v>10.5</v>
      </c>
      <c r="E54" s="56">
        <f t="shared" si="6"/>
        <v>132.5</v>
      </c>
      <c r="F54" s="56">
        <f t="shared" si="7"/>
        <v>159</v>
      </c>
    </row>
    <row r="55" ht="15.6" spans="1:6">
      <c r="A55" s="25" t="s">
        <v>1362</v>
      </c>
      <c r="B55" s="13" t="s">
        <v>46</v>
      </c>
      <c r="C55" s="5" t="s">
        <v>11</v>
      </c>
      <c r="D55" s="21">
        <v>10.5</v>
      </c>
      <c r="E55" s="56">
        <f t="shared" si="6"/>
        <v>132.5</v>
      </c>
      <c r="F55" s="56">
        <f t="shared" si="7"/>
        <v>159</v>
      </c>
    </row>
    <row r="56" ht="15.6" spans="1:6">
      <c r="A56" s="7" t="s">
        <v>722</v>
      </c>
      <c r="B56" s="14" t="s">
        <v>42</v>
      </c>
      <c r="C56" s="5" t="s">
        <v>11</v>
      </c>
      <c r="D56" s="21">
        <v>10.5</v>
      </c>
      <c r="E56" s="56">
        <f t="shared" si="6"/>
        <v>132.5</v>
      </c>
      <c r="F56" s="56">
        <f t="shared" si="7"/>
        <v>159</v>
      </c>
    </row>
    <row r="57" ht="15.6" spans="1:6">
      <c r="A57" s="7" t="s">
        <v>446</v>
      </c>
      <c r="B57" s="27" t="s">
        <v>33</v>
      </c>
      <c r="C57" s="5" t="s">
        <v>11</v>
      </c>
      <c r="D57" s="21">
        <v>10.5</v>
      </c>
      <c r="E57" s="56">
        <f t="shared" si="6"/>
        <v>132.5</v>
      </c>
      <c r="F57" s="56">
        <f t="shared" si="7"/>
        <v>159</v>
      </c>
    </row>
    <row r="58" ht="15.6" spans="1:6">
      <c r="A58" s="7" t="s">
        <v>939</v>
      </c>
      <c r="B58" s="13" t="s">
        <v>46</v>
      </c>
      <c r="C58" s="5" t="s">
        <v>11</v>
      </c>
      <c r="D58" s="21">
        <v>10.5</v>
      </c>
      <c r="E58" s="56">
        <f t="shared" si="6"/>
        <v>132.5</v>
      </c>
      <c r="F58" s="56">
        <f t="shared" si="7"/>
        <v>159</v>
      </c>
    </row>
    <row r="59" ht="15.6" spans="1:6">
      <c r="A59" s="7" t="s">
        <v>936</v>
      </c>
      <c r="B59" s="13" t="s">
        <v>46</v>
      </c>
      <c r="C59" s="5" t="s">
        <v>11</v>
      </c>
      <c r="D59" s="21">
        <v>10.5</v>
      </c>
      <c r="E59" s="56">
        <f t="shared" si="6"/>
        <v>132.5</v>
      </c>
      <c r="F59" s="56">
        <f t="shared" si="7"/>
        <v>159</v>
      </c>
    </row>
    <row r="60" ht="15.6" spans="1:6">
      <c r="A60" s="3" t="s">
        <v>1372</v>
      </c>
      <c r="B60" s="4" t="s">
        <v>51</v>
      </c>
      <c r="C60" s="5" t="s">
        <v>11</v>
      </c>
      <c r="D60" s="21">
        <v>10.5</v>
      </c>
      <c r="E60" s="56">
        <f t="shared" si="6"/>
        <v>132.5</v>
      </c>
      <c r="F60" s="56">
        <f t="shared" si="7"/>
        <v>159</v>
      </c>
    </row>
    <row r="61" ht="15.6" spans="1:6">
      <c r="A61" s="25" t="s">
        <v>989</v>
      </c>
      <c r="B61" s="13" t="s">
        <v>46</v>
      </c>
      <c r="C61" s="5" t="s">
        <v>11</v>
      </c>
      <c r="D61" s="9">
        <v>10.4</v>
      </c>
      <c r="E61" s="56">
        <f t="shared" si="6"/>
        <v>131.3</v>
      </c>
      <c r="F61" s="56">
        <f t="shared" si="7"/>
        <v>157.5</v>
      </c>
    </row>
    <row r="62" ht="15.6" spans="1:6">
      <c r="A62" s="25" t="s">
        <v>981</v>
      </c>
      <c r="B62" s="13" t="s">
        <v>46</v>
      </c>
      <c r="C62" s="5" t="s">
        <v>11</v>
      </c>
      <c r="D62" s="9">
        <v>10.4</v>
      </c>
      <c r="E62" s="56">
        <f t="shared" si="6"/>
        <v>131.3</v>
      </c>
      <c r="F62" s="56">
        <f t="shared" si="7"/>
        <v>157.5</v>
      </c>
    </row>
    <row r="63" ht="15.6" spans="1:6">
      <c r="A63" s="25" t="s">
        <v>934</v>
      </c>
      <c r="B63" s="13" t="s">
        <v>46</v>
      </c>
      <c r="C63" s="5" t="s">
        <v>11</v>
      </c>
      <c r="D63" s="9">
        <v>10.4</v>
      </c>
      <c r="E63" s="56">
        <f t="shared" si="6"/>
        <v>131.3</v>
      </c>
      <c r="F63" s="56">
        <f t="shared" si="7"/>
        <v>157.5</v>
      </c>
    </row>
    <row r="64" ht="15.6" spans="1:6">
      <c r="A64" s="7" t="s">
        <v>948</v>
      </c>
      <c r="B64" s="13" t="s">
        <v>46</v>
      </c>
      <c r="C64" s="15" t="s">
        <v>1373</v>
      </c>
      <c r="D64" s="9">
        <v>10.4</v>
      </c>
      <c r="E64" s="56">
        <f t="shared" si="6"/>
        <v>131.3</v>
      </c>
      <c r="F64" s="56">
        <f t="shared" si="7"/>
        <v>157.5</v>
      </c>
    </row>
    <row r="65" ht="15.6" spans="1:6">
      <c r="A65" s="7" t="s">
        <v>905</v>
      </c>
      <c r="B65" s="14" t="s">
        <v>42</v>
      </c>
      <c r="C65" s="5" t="s">
        <v>11</v>
      </c>
      <c r="D65" s="9">
        <v>10.4</v>
      </c>
      <c r="E65" s="56">
        <f t="shared" si="6"/>
        <v>131.3</v>
      </c>
      <c r="F65" s="56">
        <f t="shared" si="7"/>
        <v>157.5</v>
      </c>
    </row>
  </sheetData>
  <autoFilter xmlns:etc="http://www.wps.cn/officeDocument/2017/etCustomData" ref="A3:F65" etc:filterBottomFollowUsedRange="0">
    <extLst/>
  </autoFilter>
  <mergeCells count="4">
    <mergeCell ref="A4:F4"/>
    <mergeCell ref="A35:F35"/>
    <mergeCell ref="A1:F2"/>
    <mergeCell ref="J2:O3"/>
  </mergeCells>
  <pageMargins left="0.7" right="0.7" top="0.75" bottom="0.75" header="0.3" footer="0.3"/>
  <headerFooter/>
  <ignoredErrors>
    <ignoredError sqref="G36:N36 E33:N35 E15:N30 G31:N31 A15:C15 A16:D29 A30:C30 G44:N44 A44:B44 A43:C43 G3:N3 I1:I2 B1:D1 A2:D11 A12:C12 A13:B13 A33:C33 D36 A36:B36 A34:D35 A47:D65 C46 A46 E1:F2 E5:H7 E4:I4 E8:N12 G13:N13 E46:N65 A39:D42 C38:D38 A38 E38:N4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88" zoomScaleNormal="88" topLeftCell="A3" workbookViewId="0">
      <selection activeCell="A21" sqref="A21:B21"/>
    </sheetView>
  </sheetViews>
  <sheetFormatPr defaultColWidth="10" defaultRowHeight="14.4"/>
  <cols>
    <col min="1" max="1" width="73.7777777777778" style="28" customWidth="1"/>
    <col min="2" max="2" width="15.6666666666667" style="28" customWidth="1"/>
    <col min="3" max="3" width="13.8888888888889" style="28" customWidth="1"/>
    <col min="4" max="4" width="46.7777777777778" style="28" customWidth="1"/>
    <col min="5" max="5" width="15.6666666666667" style="28" customWidth="1"/>
    <col min="6" max="6" width="11.8888888888889" style="28" customWidth="1"/>
    <col min="7" max="7" width="32.1111111111111" style="28" customWidth="1"/>
    <col min="8" max="8" width="17.7777777777778" style="28" customWidth="1"/>
    <col min="9" max="9" width="13" style="28" customWidth="1"/>
    <col min="10" max="10" width="22" style="28" customWidth="1"/>
    <col min="11" max="11" width="15.6666666666667" style="28" customWidth="1"/>
    <col min="12" max="12" width="11.8888888888889" style="28" customWidth="1"/>
    <col min="13" max="16384" width="8.88888888888889" style="28"/>
  </cols>
  <sheetData>
    <row r="1" ht="20.4" spans="1:12">
      <c r="A1" s="29" t="s">
        <v>1374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ht="18" spans="1:12">
      <c r="A2" s="30" t="s">
        <v>1375</v>
      </c>
      <c r="B2" s="30"/>
      <c r="C2" s="30"/>
      <c r="D2" s="31" t="s">
        <v>1376</v>
      </c>
      <c r="E2" s="31"/>
      <c r="F2" s="31"/>
      <c r="G2" s="32" t="s">
        <v>1377</v>
      </c>
      <c r="H2" s="32"/>
      <c r="I2" s="32"/>
      <c r="J2" s="33" t="s">
        <v>1378</v>
      </c>
      <c r="K2" s="33"/>
      <c r="L2" s="33"/>
    </row>
    <row r="3" spans="1:12">
      <c r="A3" s="28" t="s">
        <v>1351</v>
      </c>
      <c r="B3" s="28" t="s">
        <v>1352</v>
      </c>
      <c r="C3" s="28" t="s">
        <v>1379</v>
      </c>
      <c r="D3" s="28" t="s">
        <v>1351</v>
      </c>
      <c r="E3" s="28" t="s">
        <v>1352</v>
      </c>
      <c r="F3" s="28" t="s">
        <v>1379</v>
      </c>
      <c r="G3" s="28" t="s">
        <v>1351</v>
      </c>
      <c r="H3" s="28" t="s">
        <v>1352</v>
      </c>
      <c r="I3" s="28" t="s">
        <v>1379</v>
      </c>
      <c r="J3" s="28" t="s">
        <v>1351</v>
      </c>
      <c r="K3" s="28" t="s">
        <v>1352</v>
      </c>
      <c r="L3" s="28" t="s">
        <v>1379</v>
      </c>
    </row>
    <row r="4" spans="1:12">
      <c r="A4" s="34" t="s">
        <v>587</v>
      </c>
      <c r="B4" s="35" t="s">
        <v>37</v>
      </c>
      <c r="C4" s="36" t="s">
        <v>1380</v>
      </c>
      <c r="D4" s="34" t="s">
        <v>583</v>
      </c>
      <c r="E4" s="35" t="s">
        <v>37</v>
      </c>
      <c r="F4" s="36" t="s">
        <v>1381</v>
      </c>
      <c r="G4" s="34" t="s">
        <v>573</v>
      </c>
      <c r="H4" s="35" t="s">
        <v>37</v>
      </c>
      <c r="I4" s="36" t="s">
        <v>1382</v>
      </c>
      <c r="J4" s="34" t="s">
        <v>498</v>
      </c>
      <c r="K4" s="35" t="s">
        <v>37</v>
      </c>
      <c r="L4" s="36" t="s">
        <v>1381</v>
      </c>
    </row>
    <row r="5" spans="1:12">
      <c r="A5" s="34" t="s">
        <v>371</v>
      </c>
      <c r="B5" s="37" t="s">
        <v>27</v>
      </c>
      <c r="C5" s="28" t="s">
        <v>1383</v>
      </c>
      <c r="D5" s="34" t="s">
        <v>585</v>
      </c>
      <c r="E5" s="35" t="s">
        <v>37</v>
      </c>
      <c r="F5" s="36" t="s">
        <v>1384</v>
      </c>
      <c r="G5" s="34" t="s">
        <v>428</v>
      </c>
      <c r="H5" s="17" t="s">
        <v>30</v>
      </c>
      <c r="I5" s="36" t="s">
        <v>1385</v>
      </c>
      <c r="J5" s="34" t="s">
        <v>861</v>
      </c>
      <c r="K5" s="38" t="s">
        <v>42</v>
      </c>
      <c r="L5" s="36" t="s">
        <v>1386</v>
      </c>
    </row>
    <row r="6" spans="1:12">
      <c r="A6" s="34" t="s">
        <v>578</v>
      </c>
      <c r="B6" s="35" t="s">
        <v>37</v>
      </c>
      <c r="C6" s="28" t="s">
        <v>1387</v>
      </c>
      <c r="D6" s="34" t="s">
        <v>885</v>
      </c>
      <c r="E6" s="38" t="s">
        <v>42</v>
      </c>
      <c r="F6" s="36" t="s">
        <v>1388</v>
      </c>
      <c r="G6" s="34" t="s">
        <v>706</v>
      </c>
      <c r="H6" s="39" t="s">
        <v>1358</v>
      </c>
      <c r="I6" s="36" t="s">
        <v>1387</v>
      </c>
      <c r="J6" s="34" t="s">
        <v>255</v>
      </c>
      <c r="K6" s="37" t="s">
        <v>27</v>
      </c>
      <c r="L6" s="36" t="s">
        <v>1389</v>
      </c>
    </row>
    <row r="7" spans="1:12">
      <c r="A7" s="34" t="s">
        <v>697</v>
      </c>
      <c r="B7" s="39" t="s">
        <v>1358</v>
      </c>
      <c r="C7" s="28" t="s">
        <v>1390</v>
      </c>
      <c r="D7" s="34" t="s">
        <v>972</v>
      </c>
      <c r="E7" s="40" t="s">
        <v>46</v>
      </c>
      <c r="F7" s="36" t="s">
        <v>1391</v>
      </c>
      <c r="G7" s="34" t="s">
        <v>953</v>
      </c>
      <c r="H7" s="40" t="s">
        <v>46</v>
      </c>
      <c r="I7" s="36" t="s">
        <v>1392</v>
      </c>
      <c r="J7" s="34" t="s">
        <v>275</v>
      </c>
      <c r="K7" s="37" t="s">
        <v>27</v>
      </c>
      <c r="L7" s="36" t="s">
        <v>1393</v>
      </c>
    </row>
    <row r="8" spans="1:12">
      <c r="A8" s="34" t="s">
        <v>944</v>
      </c>
      <c r="B8" s="40" t="s">
        <v>46</v>
      </c>
      <c r="C8" s="28" t="s">
        <v>1394</v>
      </c>
      <c r="D8" s="34" t="s">
        <v>713</v>
      </c>
      <c r="E8" s="38" t="s">
        <v>42</v>
      </c>
      <c r="F8" s="36" t="s">
        <v>1395</v>
      </c>
      <c r="G8" s="34" t="s">
        <v>682</v>
      </c>
      <c r="H8" s="39" t="s">
        <v>1358</v>
      </c>
      <c r="I8" s="36" t="s">
        <v>1396</v>
      </c>
      <c r="J8" s="34" t="s">
        <v>817</v>
      </c>
      <c r="K8" s="38" t="s">
        <v>42</v>
      </c>
      <c r="L8" s="36" t="s">
        <v>1397</v>
      </c>
    </row>
    <row r="9" spans="1:12">
      <c r="A9" s="34" t="s">
        <v>661</v>
      </c>
      <c r="B9" s="39" t="s">
        <v>1358</v>
      </c>
      <c r="C9" s="28" t="s">
        <v>1398</v>
      </c>
      <c r="D9" s="34" t="s">
        <v>768</v>
      </c>
      <c r="E9" s="38" t="s">
        <v>42</v>
      </c>
      <c r="F9" s="36" t="s">
        <v>1399</v>
      </c>
      <c r="G9" s="34" t="s">
        <v>999</v>
      </c>
      <c r="H9" s="40" t="s">
        <v>46</v>
      </c>
      <c r="I9" s="36" t="s">
        <v>1400</v>
      </c>
      <c r="J9" s="34" t="s">
        <v>1003</v>
      </c>
      <c r="K9" s="40" t="s">
        <v>46</v>
      </c>
      <c r="L9" s="36" t="s">
        <v>1401</v>
      </c>
    </row>
    <row r="10" spans="1:12">
      <c r="A10" s="34" t="s">
        <v>357</v>
      </c>
      <c r="B10" s="37" t="s">
        <v>27</v>
      </c>
      <c r="C10" s="36" t="s">
        <v>1402</v>
      </c>
      <c r="D10" s="34" t="s">
        <v>789</v>
      </c>
      <c r="E10" s="38" t="s">
        <v>42</v>
      </c>
      <c r="F10" s="36" t="s">
        <v>1403</v>
      </c>
      <c r="G10" s="34" t="s">
        <v>754</v>
      </c>
      <c r="H10" s="38" t="s">
        <v>42</v>
      </c>
      <c r="I10" s="36" t="s">
        <v>1402</v>
      </c>
      <c r="J10" s="34" t="s">
        <v>883</v>
      </c>
      <c r="K10" s="38" t="s">
        <v>42</v>
      </c>
      <c r="L10" s="36" t="s">
        <v>1404</v>
      </c>
    </row>
    <row r="11" spans="1:12">
      <c r="A11" s="34" t="s">
        <v>544</v>
      </c>
      <c r="B11" s="35" t="s">
        <v>37</v>
      </c>
      <c r="C11" s="28" t="s">
        <v>1403</v>
      </c>
      <c r="D11" s="34" t="s">
        <v>952</v>
      </c>
      <c r="E11" s="40" t="s">
        <v>46</v>
      </c>
      <c r="F11" s="36" t="s">
        <v>1405</v>
      </c>
      <c r="G11" s="34" t="s">
        <v>786</v>
      </c>
      <c r="H11" s="38" t="s">
        <v>42</v>
      </c>
      <c r="I11" s="36" t="s">
        <v>1406</v>
      </c>
      <c r="J11" s="34" t="s">
        <v>910</v>
      </c>
      <c r="K11" s="38" t="s">
        <v>42</v>
      </c>
      <c r="L11" s="36" t="s">
        <v>1407</v>
      </c>
    </row>
    <row r="12" spans="1:12">
      <c r="A12" s="34" t="s">
        <v>503</v>
      </c>
      <c r="B12" s="35" t="s">
        <v>37</v>
      </c>
      <c r="C12" s="28" t="s">
        <v>1408</v>
      </c>
      <c r="D12" s="34" t="s">
        <v>600</v>
      </c>
      <c r="E12" s="35" t="s">
        <v>37</v>
      </c>
      <c r="F12" s="36" t="s">
        <v>1409</v>
      </c>
      <c r="G12" s="34" t="s">
        <v>826</v>
      </c>
      <c r="H12" s="38" t="s">
        <v>42</v>
      </c>
      <c r="I12" s="36" t="s">
        <v>1408</v>
      </c>
      <c r="J12" s="34" t="s">
        <v>824</v>
      </c>
      <c r="K12" s="38" t="s">
        <v>42</v>
      </c>
      <c r="L12" s="36" t="s">
        <v>1410</v>
      </c>
    </row>
    <row r="13" spans="1:12">
      <c r="A13" s="34" t="s">
        <v>988</v>
      </c>
      <c r="B13" s="40" t="s">
        <v>46</v>
      </c>
      <c r="C13" s="28" t="s">
        <v>1411</v>
      </c>
      <c r="D13" s="34" t="s">
        <v>905</v>
      </c>
      <c r="E13" s="38" t="s">
        <v>42</v>
      </c>
      <c r="F13" s="36" t="s">
        <v>1412</v>
      </c>
      <c r="G13" s="34" t="s">
        <v>870</v>
      </c>
      <c r="H13" s="38" t="s">
        <v>42</v>
      </c>
      <c r="I13" s="36" t="s">
        <v>1413</v>
      </c>
      <c r="J13" s="34" t="s">
        <v>860</v>
      </c>
      <c r="K13" s="38" t="s">
        <v>42</v>
      </c>
      <c r="L13" s="36" t="s">
        <v>1414</v>
      </c>
    </row>
    <row r="14" spans="1:12">
      <c r="A14" s="34" t="s">
        <v>722</v>
      </c>
      <c r="B14" s="38" t="s">
        <v>42</v>
      </c>
      <c r="C14" s="28" t="s">
        <v>1415</v>
      </c>
      <c r="D14" s="34" t="s">
        <v>939</v>
      </c>
      <c r="E14" s="40" t="s">
        <v>46</v>
      </c>
      <c r="F14" s="36" t="s">
        <v>1416</v>
      </c>
      <c r="G14" s="34" t="s">
        <v>446</v>
      </c>
      <c r="H14" s="41" t="s">
        <v>33</v>
      </c>
      <c r="I14" s="36" t="s">
        <v>1417</v>
      </c>
      <c r="J14" s="34" t="s">
        <v>936</v>
      </c>
      <c r="K14" s="40" t="s">
        <v>46</v>
      </c>
      <c r="L14" s="36" t="s">
        <v>1418</v>
      </c>
    </row>
    <row r="15" spans="1:12">
      <c r="A15" s="34" t="s">
        <v>970</v>
      </c>
      <c r="B15" s="40" t="s">
        <v>46</v>
      </c>
      <c r="C15" s="28" t="s">
        <v>1419</v>
      </c>
      <c r="D15" s="34" t="s">
        <v>918</v>
      </c>
      <c r="E15" s="38" t="s">
        <v>42</v>
      </c>
      <c r="F15" s="36" t="s">
        <v>1420</v>
      </c>
      <c r="G15" s="34" t="s">
        <v>948</v>
      </c>
      <c r="H15" s="40" t="s">
        <v>46</v>
      </c>
      <c r="I15" s="36" t="s">
        <v>1421</v>
      </c>
      <c r="J15" s="34" t="s">
        <v>947</v>
      </c>
      <c r="K15" s="40" t="s">
        <v>46</v>
      </c>
      <c r="L15" s="36" t="s">
        <v>1422</v>
      </c>
    </row>
    <row r="16" ht="22" customHeight="1" spans="1:12">
      <c r="A16" s="42" t="s">
        <v>1423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1:12">
      <c r="A17" s="28" t="s">
        <v>676</v>
      </c>
      <c r="B17" s="39" t="s">
        <v>1358</v>
      </c>
      <c r="C17" s="28" t="s">
        <v>1424</v>
      </c>
      <c r="D17" s="34" t="s">
        <v>688</v>
      </c>
      <c r="E17" s="39" t="s">
        <v>1358</v>
      </c>
      <c r="F17" s="28" t="s">
        <v>1425</v>
      </c>
      <c r="G17" s="34" t="s">
        <v>612</v>
      </c>
      <c r="H17" s="35" t="s">
        <v>37</v>
      </c>
      <c r="I17" s="28" t="s">
        <v>1390</v>
      </c>
      <c r="J17" s="43" t="s">
        <v>765</v>
      </c>
      <c r="K17" s="38" t="s">
        <v>42</v>
      </c>
      <c r="L17" s="28" t="s">
        <v>1426</v>
      </c>
    </row>
    <row r="18" spans="1:12">
      <c r="A18" s="34" t="s">
        <v>686</v>
      </c>
      <c r="B18" s="39" t="s">
        <v>1358</v>
      </c>
      <c r="C18" s="28" t="s">
        <v>1422</v>
      </c>
      <c r="D18" s="34" t="s">
        <v>1427</v>
      </c>
      <c r="E18" s="39" t="s">
        <v>1358</v>
      </c>
      <c r="F18" s="28" t="s">
        <v>1428</v>
      </c>
      <c r="G18" s="43" t="s">
        <v>624</v>
      </c>
      <c r="H18" s="39" t="s">
        <v>1358</v>
      </c>
      <c r="I18" s="28" t="s">
        <v>1429</v>
      </c>
      <c r="J18" s="43" t="s">
        <v>732</v>
      </c>
      <c r="K18" s="38" t="s">
        <v>42</v>
      </c>
      <c r="L18" s="28" t="s">
        <v>1430</v>
      </c>
    </row>
    <row r="19" spans="1:12">
      <c r="A19" s="34" t="s">
        <v>877</v>
      </c>
      <c r="B19" s="38" t="s">
        <v>42</v>
      </c>
      <c r="C19" s="28" t="s">
        <v>1431</v>
      </c>
      <c r="D19" s="34" t="s">
        <v>763</v>
      </c>
      <c r="E19" s="38" t="s">
        <v>42</v>
      </c>
      <c r="F19" s="28" t="s">
        <v>1432</v>
      </c>
      <c r="G19" s="44" t="s">
        <v>1433</v>
      </c>
      <c r="H19" s="35" t="s">
        <v>37</v>
      </c>
      <c r="I19" s="28" t="s">
        <v>1434</v>
      </c>
      <c r="J19" s="34" t="s">
        <v>508</v>
      </c>
      <c r="K19" s="35" t="s">
        <v>37</v>
      </c>
      <c r="L19" s="28" t="s">
        <v>1435</v>
      </c>
    </row>
    <row r="21" ht="31" customHeight="1" spans="1:12">
      <c r="A21" s="28" t="s">
        <v>858</v>
      </c>
      <c r="C21" s="38" t="s">
        <v>42</v>
      </c>
      <c r="D21" s="28" t="s">
        <v>1436</v>
      </c>
    </row>
    <row r="23" spans="1:12">
      <c r="B23" s="37" t="s">
        <v>27</v>
      </c>
      <c r="C23" s="28">
        <f>COUNTIF(A3:L21,"jubeat saucer")</f>
        <v>4</v>
      </c>
    </row>
    <row r="24" spans="1:12">
      <c r="B24" s="17" t="s">
        <v>30</v>
      </c>
      <c r="C24" s="28">
        <f>COUNTIF(A3:L21,"jubeat saucer fulfill")</f>
        <v>1</v>
      </c>
    </row>
    <row r="25" spans="1:12">
      <c r="B25" s="41" t="s">
        <v>33</v>
      </c>
      <c r="C25" s="28">
        <f>COUNTIF(A3:L21,"jubeat prop")</f>
        <v>1</v>
      </c>
    </row>
    <row r="26" spans="1:12">
      <c r="B26" s="35" t="s">
        <v>37</v>
      </c>
      <c r="C26" s="28">
        <f>COUNTIF(A3:L21,"jubeat Qubell")</f>
        <v>12</v>
      </c>
    </row>
    <row r="27" spans="1:12">
      <c r="B27" s="39" t="s">
        <v>1358</v>
      </c>
      <c r="C27" s="28">
        <f>COUNTIF(A3:L21,"jubeat clan")</f>
        <v>9</v>
      </c>
    </row>
    <row r="28" spans="1:12">
      <c r="B28" s="38" t="s">
        <v>42</v>
      </c>
      <c r="C28" s="28">
        <f>COUNTIF(A3:L21,"jubeat festo")</f>
        <v>22</v>
      </c>
    </row>
    <row r="29" spans="1:12">
      <c r="B29" s="40" t="s">
        <v>46</v>
      </c>
      <c r="C29" s="28">
        <f>COUNTIF(A3:L21,"jubeat Ave.")</f>
        <v>12</v>
      </c>
    </row>
  </sheetData>
  <mergeCells count="9">
    <mergeCell ref="A1:L1"/>
    <mergeCell ref="A2:C2"/>
    <mergeCell ref="D2:F2"/>
    <mergeCell ref="G2:I2"/>
    <mergeCell ref="J2:L2"/>
    <mergeCell ref="A16:L16"/>
    <mergeCell ref="A21:B21"/>
    <mergeCell ref="D21:E21"/>
    <mergeCell ref="G21:K21"/>
  </mergeCells>
  <pageMargins left="0.75" right="0.75" top="1" bottom="1" header="0.5" footer="0.5"/>
  <headerFooter/>
  <ignoredErrors>
    <ignoredError sqref="G18:L18 D19:L19 E21:L21 J17:L17 A1:L16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zoomScale="80" zoomScaleNormal="80" workbookViewId="0">
      <selection activeCell="O14" sqref="O14"/>
    </sheetView>
  </sheetViews>
  <sheetFormatPr defaultColWidth="8.88888888888889" defaultRowHeight="14.4"/>
  <cols>
    <col min="1" max="1" width="45.4444444444444" style="1" customWidth="1"/>
    <col min="2" max="2" width="14.6666666666667" style="1" customWidth="1"/>
    <col min="3" max="3" width="8.33333333333333" style="1" customWidth="1"/>
    <col min="4" max="4" width="5.66666666666667" style="1" customWidth="1"/>
    <col min="5" max="5" width="29.4444444444444" style="1" customWidth="1"/>
    <col min="6" max="6" width="14.6666666666667" style="1" customWidth="1"/>
    <col min="7" max="7" width="8.66666666666667" style="1" customWidth="1"/>
    <col min="8" max="8" width="5.66666666666667" style="1" customWidth="1"/>
    <col min="9" max="9" width="29.8888888888889" style="1" customWidth="1"/>
    <col min="10" max="10" width="14.6666666666667" style="1" customWidth="1"/>
    <col min="11" max="11" width="8.33333333333333" style="1" customWidth="1"/>
    <col min="12" max="12" width="5.77777777777778" style="1" customWidth="1"/>
    <col min="13" max="13" width="8.88888888888889" style="1"/>
    <col min="14" max="15" width="5.66666666666667" style="1" customWidth="1"/>
    <col min="16" max="16" width="14.6666666666667" style="1" customWidth="1"/>
    <col min="17" max="17" width="5.66666666666667" style="1" customWidth="1"/>
    <col min="18" max="16384" width="8.88888888888889" style="1"/>
  </cols>
  <sheetData>
    <row r="1" spans="1:17">
      <c r="A1" s="2" t="s">
        <v>1437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6" spans="1:17">
      <c r="A3" s="25" t="s">
        <v>858</v>
      </c>
      <c r="B3" s="14" t="s">
        <v>42</v>
      </c>
      <c r="C3" s="5" t="s">
        <v>11</v>
      </c>
      <c r="D3" s="6">
        <v>10.9</v>
      </c>
      <c r="E3" s="7" t="s">
        <v>905</v>
      </c>
      <c r="F3" s="14" t="s">
        <v>42</v>
      </c>
      <c r="G3" s="5" t="s">
        <v>11</v>
      </c>
      <c r="H3" s="9">
        <v>10.4</v>
      </c>
      <c r="I3" s="7" t="s">
        <v>503</v>
      </c>
      <c r="J3" s="19" t="s">
        <v>37</v>
      </c>
      <c r="K3" s="5" t="s">
        <v>11</v>
      </c>
      <c r="L3" s="22">
        <v>10.2</v>
      </c>
      <c r="N3" s="12" t="s">
        <v>1438</v>
      </c>
      <c r="O3" s="12" t="s">
        <v>1439</v>
      </c>
      <c r="P3" s="12" t="s">
        <v>1440</v>
      </c>
      <c r="Q3" s="12" t="s">
        <v>1439</v>
      </c>
    </row>
    <row r="4" ht="15.6" spans="1:17">
      <c r="A4" s="25" t="s">
        <v>1214</v>
      </c>
      <c r="B4" s="4" t="s">
        <v>51</v>
      </c>
      <c r="C4" s="5" t="s">
        <v>11</v>
      </c>
      <c r="D4" s="6">
        <v>10.9</v>
      </c>
      <c r="E4" s="7" t="s">
        <v>870</v>
      </c>
      <c r="F4" s="14" t="s">
        <v>42</v>
      </c>
      <c r="G4" s="5" t="s">
        <v>11</v>
      </c>
      <c r="H4" s="9">
        <v>10.4</v>
      </c>
      <c r="I4" s="7" t="s">
        <v>826</v>
      </c>
      <c r="J4" s="14" t="s">
        <v>42</v>
      </c>
      <c r="K4" s="5" t="s">
        <v>11</v>
      </c>
      <c r="L4" s="22">
        <v>10.2</v>
      </c>
      <c r="N4" s="6">
        <v>10.9</v>
      </c>
      <c r="O4" s="12">
        <f>COUNTIF(A3:L32,10.9)</f>
        <v>2</v>
      </c>
      <c r="P4" s="10" t="s">
        <v>27</v>
      </c>
      <c r="Q4" s="12">
        <f>COUNTIF(A3:L32,"jubeat saucer")</f>
        <v>1</v>
      </c>
    </row>
    <row r="5" ht="15.6" spans="1:17">
      <c r="A5" s="7" t="s">
        <v>508</v>
      </c>
      <c r="B5" s="19" t="s">
        <v>37</v>
      </c>
      <c r="C5" s="5" t="s">
        <v>11</v>
      </c>
      <c r="D5" s="18">
        <v>10.7</v>
      </c>
      <c r="E5" s="7" t="s">
        <v>860</v>
      </c>
      <c r="F5" s="14" t="s">
        <v>42</v>
      </c>
      <c r="G5" s="5" t="s">
        <v>11</v>
      </c>
      <c r="H5" s="9">
        <v>10.4</v>
      </c>
      <c r="I5" s="7" t="s">
        <v>910</v>
      </c>
      <c r="J5" s="14" t="s">
        <v>42</v>
      </c>
      <c r="K5" s="5" t="s">
        <v>11</v>
      </c>
      <c r="L5" s="22">
        <v>10.2</v>
      </c>
      <c r="N5" s="6">
        <v>10.8</v>
      </c>
      <c r="O5" s="12">
        <f>COUNTIF(A3:L32,10.8)</f>
        <v>0</v>
      </c>
      <c r="P5" s="19" t="s">
        <v>37</v>
      </c>
      <c r="Q5" s="12">
        <f>COUNTIF(A3:L32,"jubeat Qubell")</f>
        <v>5</v>
      </c>
    </row>
    <row r="6" ht="15.6" spans="1:17">
      <c r="A6" s="26" t="s">
        <v>519</v>
      </c>
      <c r="B6" s="19" t="s">
        <v>37</v>
      </c>
      <c r="C6" s="5" t="s">
        <v>11</v>
      </c>
      <c r="D6" s="18">
        <v>10.7</v>
      </c>
      <c r="E6" s="7" t="s">
        <v>948</v>
      </c>
      <c r="F6" s="13" t="s">
        <v>46</v>
      </c>
      <c r="G6" s="15" t="s">
        <v>1373</v>
      </c>
      <c r="H6" s="9">
        <v>10.4</v>
      </c>
      <c r="I6" s="25" t="s">
        <v>858</v>
      </c>
      <c r="J6" s="14" t="s">
        <v>42</v>
      </c>
      <c r="K6" s="15" t="s">
        <v>1373</v>
      </c>
      <c r="L6" s="22">
        <v>10.2</v>
      </c>
      <c r="N6" s="18">
        <v>10.7</v>
      </c>
      <c r="O6" s="12">
        <f>COUNTIF(A3:L32,10.7)</f>
        <v>8</v>
      </c>
      <c r="P6" s="8" t="s">
        <v>39</v>
      </c>
      <c r="Q6" s="12">
        <f>COUNTIF(A3:L32,"jubeat clan")</f>
        <v>3</v>
      </c>
    </row>
    <row r="7" ht="15.6" spans="1:17">
      <c r="A7" s="7" t="s">
        <v>877</v>
      </c>
      <c r="B7" s="14" t="s">
        <v>42</v>
      </c>
      <c r="C7" s="5" t="s">
        <v>11</v>
      </c>
      <c r="D7" s="18">
        <v>10.7</v>
      </c>
      <c r="E7" s="25" t="s">
        <v>989</v>
      </c>
      <c r="F7" s="13" t="s">
        <v>46</v>
      </c>
      <c r="G7" s="5" t="s">
        <v>11</v>
      </c>
      <c r="H7" s="9">
        <v>10.4</v>
      </c>
      <c r="I7" s="25" t="s">
        <v>1214</v>
      </c>
      <c r="J7" s="4" t="s">
        <v>51</v>
      </c>
      <c r="K7" s="15" t="s">
        <v>1373</v>
      </c>
      <c r="L7" s="22">
        <v>10.2</v>
      </c>
      <c r="N7" s="20">
        <v>10.6</v>
      </c>
      <c r="O7" s="12">
        <f>COUNTIF(A3:L32,10.6)</f>
        <v>6</v>
      </c>
      <c r="P7" s="14" t="s">
        <v>42</v>
      </c>
      <c r="Q7" s="12">
        <f>COUNTIF(A3:L26,"jubeat festo")</f>
        <v>16</v>
      </c>
    </row>
    <row r="8" ht="15.6" spans="1:17">
      <c r="A8" s="7" t="s">
        <v>763</v>
      </c>
      <c r="B8" s="14" t="s">
        <v>42</v>
      </c>
      <c r="C8" s="5" t="s">
        <v>11</v>
      </c>
      <c r="D8" s="18">
        <v>10.7</v>
      </c>
      <c r="E8" s="25" t="s">
        <v>981</v>
      </c>
      <c r="F8" s="13" t="s">
        <v>46</v>
      </c>
      <c r="G8" s="5" t="s">
        <v>11</v>
      </c>
      <c r="H8" s="9">
        <v>10.4</v>
      </c>
      <c r="I8" s="3" t="s">
        <v>1193</v>
      </c>
      <c r="J8" s="4" t="s">
        <v>51</v>
      </c>
      <c r="K8" s="5" t="s">
        <v>11</v>
      </c>
      <c r="L8" s="22">
        <v>10.2</v>
      </c>
      <c r="N8" s="21">
        <v>10.5</v>
      </c>
      <c r="O8" s="12">
        <f>COUNTIF(A3:L32,10.5)</f>
        <v>9</v>
      </c>
      <c r="P8" s="13" t="s">
        <v>46</v>
      </c>
      <c r="Q8" s="12">
        <f>COUNTIF(A3:L32,"jubeat Ave.")</f>
        <v>17</v>
      </c>
    </row>
    <row r="9" ht="15.6" spans="1:17">
      <c r="A9" s="25" t="s">
        <v>960</v>
      </c>
      <c r="B9" s="13" t="s">
        <v>46</v>
      </c>
      <c r="C9" s="5" t="s">
        <v>11</v>
      </c>
      <c r="D9" s="18">
        <v>10.7</v>
      </c>
      <c r="E9" s="25" t="s">
        <v>934</v>
      </c>
      <c r="F9" s="13" t="s">
        <v>46</v>
      </c>
      <c r="G9" s="5" t="s">
        <v>11</v>
      </c>
      <c r="H9" s="9">
        <v>10.4</v>
      </c>
      <c r="I9" s="3" t="s">
        <v>1235</v>
      </c>
      <c r="J9" s="4" t="s">
        <v>51</v>
      </c>
      <c r="K9" s="5" t="s">
        <v>11</v>
      </c>
      <c r="L9" s="22">
        <v>10.2</v>
      </c>
      <c r="N9" s="9">
        <v>10.4</v>
      </c>
      <c r="O9" s="12">
        <f>COUNTIF(A3:L32,10.4)</f>
        <v>14</v>
      </c>
      <c r="P9" s="4" t="s">
        <v>51</v>
      </c>
      <c r="Q9" s="12">
        <f>COUNTIF(A3:L32,"jubeat音乐魔方")</f>
        <v>25</v>
      </c>
    </row>
    <row r="10" ht="15.6" spans="1:17">
      <c r="A10" s="7" t="s">
        <v>970</v>
      </c>
      <c r="B10" s="13" t="s">
        <v>46</v>
      </c>
      <c r="C10" s="5" t="s">
        <v>11</v>
      </c>
      <c r="D10" s="18">
        <v>10.7</v>
      </c>
      <c r="E10" s="7" t="s">
        <v>1001</v>
      </c>
      <c r="F10" s="13" t="s">
        <v>46</v>
      </c>
      <c r="G10" s="5" t="s">
        <v>11</v>
      </c>
      <c r="H10" s="9">
        <v>10.4</v>
      </c>
      <c r="I10" s="3" t="s">
        <v>1208</v>
      </c>
      <c r="J10" s="4" t="s">
        <v>51</v>
      </c>
      <c r="K10" s="5" t="s">
        <v>11</v>
      </c>
      <c r="L10" s="22">
        <v>10.2</v>
      </c>
      <c r="N10" s="23">
        <v>10.3</v>
      </c>
      <c r="O10" s="12">
        <f>COUNTIF(A3:L32,10.3)</f>
        <v>9</v>
      </c>
      <c r="P10" s="12"/>
      <c r="Q10" s="12"/>
    </row>
    <row r="11" ht="15.6" spans="1:17">
      <c r="A11" s="25" t="s">
        <v>1190</v>
      </c>
      <c r="B11" s="4" t="s">
        <v>51</v>
      </c>
      <c r="C11" s="5" t="s">
        <v>11</v>
      </c>
      <c r="D11" s="18">
        <v>10.7</v>
      </c>
      <c r="E11" s="7" t="s">
        <v>1441</v>
      </c>
      <c r="F11" s="13" t="s">
        <v>46</v>
      </c>
      <c r="G11" s="5" t="s">
        <v>11</v>
      </c>
      <c r="H11" s="9">
        <v>10.4</v>
      </c>
      <c r="I11" s="7" t="s">
        <v>544</v>
      </c>
      <c r="J11" s="19" t="s">
        <v>37</v>
      </c>
      <c r="K11" s="5" t="s">
        <v>11</v>
      </c>
      <c r="L11" s="22">
        <v>10.1</v>
      </c>
      <c r="N11" s="23">
        <v>10.2</v>
      </c>
      <c r="O11" s="12">
        <f>COUNTIF(A3:L32,10.2)</f>
        <v>8</v>
      </c>
      <c r="P11" s="12"/>
      <c r="Q11" s="12"/>
    </row>
    <row r="12" ht="15.6" spans="1:17">
      <c r="A12" s="3" t="s">
        <v>1219</v>
      </c>
      <c r="B12" s="4" t="s">
        <v>51</v>
      </c>
      <c r="C12" s="5" t="s">
        <v>11</v>
      </c>
      <c r="D12" s="18">
        <v>10.7</v>
      </c>
      <c r="E12" s="3" t="s">
        <v>1174</v>
      </c>
      <c r="F12" s="4" t="s">
        <v>51</v>
      </c>
      <c r="G12" s="5" t="s">
        <v>11</v>
      </c>
      <c r="H12" s="9">
        <v>10.4</v>
      </c>
      <c r="I12" s="16" t="s">
        <v>1442</v>
      </c>
      <c r="J12" s="8" t="s">
        <v>39</v>
      </c>
      <c r="K12" s="5" t="s">
        <v>11</v>
      </c>
      <c r="L12" s="22">
        <v>10.1</v>
      </c>
      <c r="N12" s="23">
        <v>10.1</v>
      </c>
      <c r="O12" s="12">
        <f>COUNTIF(A3:M32,10.1)</f>
        <v>6</v>
      </c>
      <c r="P12" s="12"/>
      <c r="Q12" s="12"/>
    </row>
    <row r="13" ht="15.6" spans="1:17">
      <c r="A13" s="16" t="s">
        <v>686</v>
      </c>
      <c r="B13" s="8" t="s">
        <v>39</v>
      </c>
      <c r="C13" s="5" t="s">
        <v>11</v>
      </c>
      <c r="D13" s="20">
        <v>10.6</v>
      </c>
      <c r="E13" s="3" t="s">
        <v>1202</v>
      </c>
      <c r="F13" s="4" t="s">
        <v>51</v>
      </c>
      <c r="G13" s="5" t="s">
        <v>11</v>
      </c>
      <c r="H13" s="9">
        <v>10.4</v>
      </c>
      <c r="I13" s="7" t="s">
        <v>786</v>
      </c>
      <c r="J13" s="14" t="s">
        <v>42</v>
      </c>
      <c r="K13" s="5" t="s">
        <v>11</v>
      </c>
      <c r="L13" s="22">
        <v>10.1</v>
      </c>
      <c r="N13" s="23">
        <v>10</v>
      </c>
      <c r="O13" s="12">
        <f>COUNTIF(A3:L32,10)</f>
        <v>6</v>
      </c>
      <c r="P13" s="12"/>
      <c r="Q13" s="12"/>
    </row>
    <row r="14" ht="15.6" spans="1:17">
      <c r="A14" s="7" t="s">
        <v>918</v>
      </c>
      <c r="B14" s="14" t="s">
        <v>42</v>
      </c>
      <c r="C14" s="5" t="s">
        <v>11</v>
      </c>
      <c r="D14" s="20">
        <v>10.6</v>
      </c>
      <c r="E14" s="3" t="s">
        <v>1211</v>
      </c>
      <c r="F14" s="4" t="s">
        <v>51</v>
      </c>
      <c r="G14" s="5" t="s">
        <v>11</v>
      </c>
      <c r="H14" s="9">
        <v>10.4</v>
      </c>
      <c r="I14" s="7" t="s">
        <v>789</v>
      </c>
      <c r="J14" s="14" t="s">
        <v>42</v>
      </c>
      <c r="K14" s="5" t="s">
        <v>11</v>
      </c>
      <c r="L14" s="22">
        <v>10.1</v>
      </c>
    </row>
    <row r="15" ht="15.6" spans="1:17">
      <c r="A15" s="7" t="s">
        <v>948</v>
      </c>
      <c r="B15" s="13" t="s">
        <v>46</v>
      </c>
      <c r="C15" s="5" t="s">
        <v>11</v>
      </c>
      <c r="D15" s="20">
        <v>10.6</v>
      </c>
      <c r="E15" s="3" t="s">
        <v>1443</v>
      </c>
      <c r="F15" s="4" t="s">
        <v>51</v>
      </c>
      <c r="G15" s="5" t="s">
        <v>11</v>
      </c>
      <c r="H15" s="9">
        <v>10.4</v>
      </c>
      <c r="I15" s="3" t="s">
        <v>1241</v>
      </c>
      <c r="J15" s="4" t="s">
        <v>51</v>
      </c>
      <c r="K15" s="5" t="s">
        <v>11</v>
      </c>
      <c r="L15" s="22">
        <v>10.1</v>
      </c>
    </row>
    <row r="16" ht="15.6" spans="1:17">
      <c r="A16" s="7" t="s">
        <v>947</v>
      </c>
      <c r="B16" s="13" t="s">
        <v>46</v>
      </c>
      <c r="C16" s="5" t="s">
        <v>11</v>
      </c>
      <c r="D16" s="20">
        <v>10.6</v>
      </c>
      <c r="E16" s="3" t="s">
        <v>1267</v>
      </c>
      <c r="F16" s="4" t="s">
        <v>51</v>
      </c>
      <c r="G16" s="5" t="s">
        <v>11</v>
      </c>
      <c r="H16" s="9">
        <v>10.4</v>
      </c>
      <c r="I16" s="7" t="s">
        <v>1218</v>
      </c>
      <c r="J16" s="4" t="s">
        <v>51</v>
      </c>
      <c r="K16" s="5" t="s">
        <v>11</v>
      </c>
      <c r="L16" s="22">
        <v>10.1</v>
      </c>
    </row>
    <row r="17" ht="15.6" spans="1:12">
      <c r="A17" s="25" t="s">
        <v>1361</v>
      </c>
      <c r="B17" s="4" t="s">
        <v>51</v>
      </c>
      <c r="C17" s="5" t="s">
        <v>11</v>
      </c>
      <c r="D17" s="20">
        <v>10.6</v>
      </c>
      <c r="E17" s="7" t="s">
        <v>600</v>
      </c>
      <c r="F17" s="19" t="s">
        <v>37</v>
      </c>
      <c r="G17" s="5" t="s">
        <v>11</v>
      </c>
      <c r="H17" s="22">
        <v>10.3</v>
      </c>
      <c r="I17" s="7" t="s">
        <v>357</v>
      </c>
      <c r="J17" s="10" t="s">
        <v>27</v>
      </c>
      <c r="K17" s="5" t="s">
        <v>11</v>
      </c>
      <c r="L17" s="11">
        <v>10</v>
      </c>
    </row>
    <row r="18" ht="15.6" spans="1:12">
      <c r="A18" s="7" t="s">
        <v>1200</v>
      </c>
      <c r="B18" s="4" t="s">
        <v>51</v>
      </c>
      <c r="C18" s="5" t="s">
        <v>11</v>
      </c>
      <c r="D18" s="20">
        <v>10.6</v>
      </c>
      <c r="E18" s="16" t="s">
        <v>624</v>
      </c>
      <c r="F18" s="8" t="s">
        <v>39</v>
      </c>
      <c r="G18" s="5" t="s">
        <v>11</v>
      </c>
      <c r="H18" s="22">
        <v>10.3</v>
      </c>
      <c r="I18" s="7" t="s">
        <v>754</v>
      </c>
      <c r="J18" s="14" t="s">
        <v>42</v>
      </c>
      <c r="K18" s="5" t="s">
        <v>11</v>
      </c>
      <c r="L18" s="11">
        <v>10</v>
      </c>
    </row>
    <row r="19" ht="15.6" spans="1:12">
      <c r="A19" s="7" t="s">
        <v>446</v>
      </c>
      <c r="B19" s="27" t="s">
        <v>33</v>
      </c>
      <c r="C19" s="5" t="s">
        <v>11</v>
      </c>
      <c r="D19" s="21">
        <v>10.5</v>
      </c>
      <c r="E19" s="7" t="s">
        <v>824</v>
      </c>
      <c r="F19" s="14" t="s">
        <v>42</v>
      </c>
      <c r="G19" s="5" t="s">
        <v>11</v>
      </c>
      <c r="H19" s="22">
        <v>10.3</v>
      </c>
      <c r="I19" s="7" t="s">
        <v>883</v>
      </c>
      <c r="J19" s="14" t="s">
        <v>42</v>
      </c>
      <c r="K19" s="5" t="s">
        <v>11</v>
      </c>
      <c r="L19" s="11">
        <v>10</v>
      </c>
    </row>
    <row r="20" ht="15.6" spans="1:12">
      <c r="A20" s="7" t="s">
        <v>722</v>
      </c>
      <c r="B20" s="14" t="s">
        <v>42</v>
      </c>
      <c r="C20" s="5" t="s">
        <v>11</v>
      </c>
      <c r="D20" s="21">
        <v>10.5</v>
      </c>
      <c r="E20" s="7" t="s">
        <v>952</v>
      </c>
      <c r="F20" s="13" t="s">
        <v>46</v>
      </c>
      <c r="G20" s="5" t="s">
        <v>11</v>
      </c>
      <c r="H20" s="22">
        <v>10.3</v>
      </c>
      <c r="I20" s="3" t="s">
        <v>1253</v>
      </c>
      <c r="J20" s="4" t="s">
        <v>51</v>
      </c>
      <c r="K20" s="5" t="s">
        <v>11</v>
      </c>
      <c r="L20" s="11">
        <v>10</v>
      </c>
    </row>
    <row r="21" ht="15.6" spans="1:12">
      <c r="A21" s="25" t="s">
        <v>983</v>
      </c>
      <c r="B21" s="13" t="s">
        <v>46</v>
      </c>
      <c r="C21" s="5" t="s">
        <v>11</v>
      </c>
      <c r="D21" s="21">
        <v>10.5</v>
      </c>
      <c r="E21" s="7" t="s">
        <v>988</v>
      </c>
      <c r="F21" s="13" t="s">
        <v>46</v>
      </c>
      <c r="G21" s="5" t="s">
        <v>11</v>
      </c>
      <c r="H21" s="22">
        <v>10.3</v>
      </c>
      <c r="I21" s="3" t="s">
        <v>1246</v>
      </c>
      <c r="J21" s="4" t="s">
        <v>51</v>
      </c>
      <c r="K21" s="5" t="s">
        <v>11</v>
      </c>
      <c r="L21" s="11">
        <v>10</v>
      </c>
    </row>
    <row r="22" ht="15.6" spans="1:12">
      <c r="A22" s="25" t="s">
        <v>1362</v>
      </c>
      <c r="B22" s="13" t="s">
        <v>46</v>
      </c>
      <c r="C22" s="5" t="s">
        <v>11</v>
      </c>
      <c r="D22" s="21">
        <v>10.5</v>
      </c>
      <c r="E22" s="7" t="s">
        <v>958</v>
      </c>
      <c r="F22" s="13" t="s">
        <v>46</v>
      </c>
      <c r="G22" s="5" t="s">
        <v>11</v>
      </c>
      <c r="H22" s="22">
        <v>10.3</v>
      </c>
      <c r="I22" s="7" t="s">
        <v>1254</v>
      </c>
      <c r="J22" s="4" t="s">
        <v>51</v>
      </c>
      <c r="K22" s="5" t="s">
        <v>11</v>
      </c>
      <c r="L22" s="11">
        <v>10</v>
      </c>
    </row>
    <row r="23" ht="15.6" spans="1:12">
      <c r="A23" s="7" t="s">
        <v>939</v>
      </c>
      <c r="B23" s="13" t="s">
        <v>46</v>
      </c>
      <c r="C23" s="5" t="s">
        <v>11</v>
      </c>
      <c r="D23" s="21">
        <v>10.5</v>
      </c>
      <c r="E23" s="3" t="s">
        <v>1195</v>
      </c>
      <c r="F23" s="4" t="s">
        <v>51</v>
      </c>
      <c r="G23" s="5" t="s">
        <v>11</v>
      </c>
      <c r="H23" s="22">
        <v>10.3</v>
      </c>
    </row>
    <row r="24" ht="15.6" spans="1:12">
      <c r="A24" s="7" t="s">
        <v>936</v>
      </c>
      <c r="B24" s="13" t="s">
        <v>46</v>
      </c>
      <c r="C24" s="5" t="s">
        <v>11</v>
      </c>
      <c r="D24" s="21">
        <v>10.5</v>
      </c>
      <c r="E24" s="3" t="s">
        <v>1175</v>
      </c>
      <c r="F24" s="4" t="s">
        <v>51</v>
      </c>
      <c r="G24" s="5" t="s">
        <v>11</v>
      </c>
      <c r="H24" s="22">
        <v>10.3</v>
      </c>
    </row>
    <row r="25" ht="15.6" spans="1:12">
      <c r="A25" s="25" t="s">
        <v>1242</v>
      </c>
      <c r="B25" s="4" t="s">
        <v>51</v>
      </c>
      <c r="C25" s="5" t="s">
        <v>11</v>
      </c>
      <c r="D25" s="21">
        <v>10.5</v>
      </c>
      <c r="E25" s="3" t="s">
        <v>1444</v>
      </c>
      <c r="F25" s="4" t="s">
        <v>51</v>
      </c>
      <c r="G25" s="5" t="s">
        <v>11</v>
      </c>
      <c r="H25" s="22">
        <v>10.3</v>
      </c>
    </row>
    <row r="26" ht="15.6" spans="1:12">
      <c r="A26" s="25" t="s">
        <v>1234</v>
      </c>
      <c r="B26" s="4" t="s">
        <v>51</v>
      </c>
      <c r="C26" s="5" t="s">
        <v>11</v>
      </c>
      <c r="D26" s="21">
        <v>10.5</v>
      </c>
    </row>
    <row r="27" ht="15.6" spans="1:12">
      <c r="A27" s="3" t="s">
        <v>1372</v>
      </c>
      <c r="B27" s="4" t="s">
        <v>51</v>
      </c>
      <c r="C27" s="5" t="s">
        <v>11</v>
      </c>
      <c r="D27" s="21">
        <v>10.5</v>
      </c>
    </row>
  </sheetData>
  <mergeCells count="1">
    <mergeCell ref="A1:L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zoomScale="80" zoomScaleNormal="80" workbookViewId="0">
      <selection activeCell="E21" sqref="E21"/>
    </sheetView>
  </sheetViews>
  <sheetFormatPr defaultColWidth="8.88888888888889" defaultRowHeight="14.4"/>
  <cols>
    <col min="1" max="1" width="27.6666666666667" style="1" customWidth="1"/>
    <col min="2" max="2" width="14.6666666666667" style="1" customWidth="1"/>
    <col min="3" max="3" width="8.66666666666667" style="1" customWidth="1"/>
    <col min="4" max="4" width="4.66666666666667" style="1" customWidth="1"/>
    <col min="5" max="5" width="24.7777777777778" style="1" customWidth="1"/>
    <col min="6" max="6" width="14.6666666666667" style="1" customWidth="1"/>
    <col min="7" max="7" width="8.66666666666667" style="1" customWidth="1"/>
    <col min="8" max="8" width="4.66666666666667" style="1" customWidth="1"/>
    <col min="9" max="9" width="45.4444444444444" style="1" customWidth="1"/>
    <col min="10" max="10" width="17.7777777777778" style="1" customWidth="1"/>
    <col min="11" max="11" width="8.66666666666667" style="1" customWidth="1"/>
    <col min="12" max="12" width="4.77777777777778" style="1" customWidth="1"/>
    <col min="13" max="13" width="8.88888888888889" style="1"/>
    <col min="14" max="15" width="5.66666666666667" style="1" customWidth="1"/>
    <col min="16" max="16" width="17.7777777777778" style="1" customWidth="1"/>
    <col min="17" max="17" width="5.66666666666667" style="1" customWidth="1"/>
    <col min="18" max="16384" width="8.88888888888889" style="1"/>
  </cols>
  <sheetData>
    <row r="1" spans="1:17">
      <c r="A1" s="2" t="s">
        <v>1445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6" spans="1:17">
      <c r="A3" s="3" t="s">
        <v>1237</v>
      </c>
      <c r="B3" s="4" t="s">
        <v>51</v>
      </c>
      <c r="C3" s="5" t="s">
        <v>11</v>
      </c>
      <c r="D3" s="6">
        <v>9.9</v>
      </c>
      <c r="E3" s="7" t="s">
        <v>682</v>
      </c>
      <c r="F3" s="8" t="s">
        <v>39</v>
      </c>
      <c r="G3" s="5" t="s">
        <v>11</v>
      </c>
      <c r="H3" s="9">
        <v>9.4</v>
      </c>
      <c r="I3" s="7" t="s">
        <v>255</v>
      </c>
      <c r="J3" s="10" t="s">
        <v>27</v>
      </c>
      <c r="K3" s="5" t="s">
        <v>11</v>
      </c>
      <c r="L3" s="11">
        <v>9.2</v>
      </c>
      <c r="N3" s="12" t="s">
        <v>1438</v>
      </c>
      <c r="O3" s="12" t="s">
        <v>1439</v>
      </c>
      <c r="P3" s="12" t="s">
        <v>1440</v>
      </c>
      <c r="Q3" s="12" t="s">
        <v>1439</v>
      </c>
    </row>
    <row r="4" ht="15.6" spans="1:17">
      <c r="A4" s="7" t="s">
        <v>661</v>
      </c>
      <c r="B4" s="8" t="s">
        <v>39</v>
      </c>
      <c r="C4" s="5" t="s">
        <v>11</v>
      </c>
      <c r="D4" s="6">
        <v>9.8</v>
      </c>
      <c r="E4" s="7" t="s">
        <v>953</v>
      </c>
      <c r="F4" s="13" t="s">
        <v>46</v>
      </c>
      <c r="G4" s="5" t="s">
        <v>11</v>
      </c>
      <c r="H4" s="9">
        <v>9.4</v>
      </c>
      <c r="I4" s="7" t="s">
        <v>918</v>
      </c>
      <c r="J4" s="14" t="s">
        <v>42</v>
      </c>
      <c r="K4" s="15" t="s">
        <v>1373</v>
      </c>
      <c r="L4" s="11">
        <v>9.2</v>
      </c>
      <c r="N4" s="6">
        <v>9.9</v>
      </c>
      <c r="O4" s="12">
        <f>COUNTIF(A3:L32,9.9)</f>
        <v>1</v>
      </c>
      <c r="P4" s="10" t="s">
        <v>27</v>
      </c>
      <c r="Q4" s="12">
        <f>COUNTIF(A3:L32,"jubeat saucer")</f>
        <v>3</v>
      </c>
    </row>
    <row r="5" ht="15.6" spans="1:17">
      <c r="A5" s="16" t="s">
        <v>688</v>
      </c>
      <c r="B5" s="8" t="s">
        <v>39</v>
      </c>
      <c r="C5" s="5" t="s">
        <v>11</v>
      </c>
      <c r="D5" s="6">
        <v>9.8</v>
      </c>
      <c r="E5" s="3" t="s">
        <v>1372</v>
      </c>
      <c r="F5" s="4" t="s">
        <v>51</v>
      </c>
      <c r="G5" s="15" t="s">
        <v>1373</v>
      </c>
      <c r="H5" s="9">
        <v>9.4</v>
      </c>
      <c r="I5" s="7" t="s">
        <v>1446</v>
      </c>
      <c r="J5" s="14" t="s">
        <v>42</v>
      </c>
      <c r="K5" s="5" t="s">
        <v>11</v>
      </c>
      <c r="L5" s="11">
        <v>9.2</v>
      </c>
      <c r="N5" s="6">
        <v>9.8</v>
      </c>
      <c r="O5" s="12">
        <f>COUNTIF(A3:L32,9.8)</f>
        <v>6</v>
      </c>
      <c r="P5" s="17" t="s">
        <v>30</v>
      </c>
      <c r="Q5" s="12">
        <f>COUNTIF(A3:L32,"jubeat saucer fulfill")</f>
        <v>1</v>
      </c>
    </row>
    <row r="6" ht="15.6" spans="1:17">
      <c r="A6" s="3" t="s">
        <v>1236</v>
      </c>
      <c r="B6" s="4" t="s">
        <v>51</v>
      </c>
      <c r="C6" s="5" t="s">
        <v>11</v>
      </c>
      <c r="D6" s="6">
        <v>9.8</v>
      </c>
      <c r="E6" s="3" t="s">
        <v>1213</v>
      </c>
      <c r="F6" s="4" t="s">
        <v>51</v>
      </c>
      <c r="G6" s="5" t="s">
        <v>11</v>
      </c>
      <c r="H6" s="9">
        <v>9.4</v>
      </c>
      <c r="I6" s="3" t="s">
        <v>1361</v>
      </c>
      <c r="J6" s="4" t="s">
        <v>51</v>
      </c>
      <c r="K6" s="15" t="s">
        <v>1373</v>
      </c>
      <c r="L6" s="11">
        <v>9.2</v>
      </c>
      <c r="N6" s="18">
        <v>9.7</v>
      </c>
      <c r="O6" s="12">
        <f>COUNTIF(A3:L32,9.7)</f>
        <v>5</v>
      </c>
      <c r="P6" s="19" t="s">
        <v>37</v>
      </c>
      <c r="Q6" s="12">
        <f>COUNTIF(A3:L32,"jubeat Qubell")</f>
        <v>5</v>
      </c>
    </row>
    <row r="7" ht="15.6" spans="1:17">
      <c r="A7" s="3" t="s">
        <v>1216</v>
      </c>
      <c r="B7" s="4" t="s">
        <v>51</v>
      </c>
      <c r="C7" s="5" t="s">
        <v>11</v>
      </c>
      <c r="D7" s="6">
        <v>9.8</v>
      </c>
      <c r="E7" s="3" t="s">
        <v>1225</v>
      </c>
      <c r="F7" s="4" t="s">
        <v>51</v>
      </c>
      <c r="G7" s="5" t="s">
        <v>11</v>
      </c>
      <c r="H7" s="9">
        <v>9.4</v>
      </c>
      <c r="I7" s="3" t="s">
        <v>1447</v>
      </c>
      <c r="J7" s="4" t="s">
        <v>51</v>
      </c>
      <c r="K7" s="5" t="s">
        <v>11</v>
      </c>
      <c r="L7" s="11">
        <v>9.2</v>
      </c>
      <c r="N7" s="20">
        <v>9.6</v>
      </c>
      <c r="O7" s="12">
        <f>COUNTIF(A3:L32,9.6)</f>
        <v>7</v>
      </c>
      <c r="P7" s="8" t="s">
        <v>39</v>
      </c>
      <c r="Q7" s="12">
        <f>COUNTIF(A3:L32,"jubeat clan")</f>
        <v>6</v>
      </c>
    </row>
    <row r="8" ht="15.6" spans="1:17">
      <c r="A8" s="3" t="s">
        <v>1210</v>
      </c>
      <c r="B8" s="4" t="s">
        <v>51</v>
      </c>
      <c r="C8" s="5" t="s">
        <v>11</v>
      </c>
      <c r="D8" s="6">
        <v>9.8</v>
      </c>
      <c r="E8" s="3" t="s">
        <v>1176</v>
      </c>
      <c r="F8" s="4" t="s">
        <v>51</v>
      </c>
      <c r="G8" s="5" t="s">
        <v>11</v>
      </c>
      <c r="H8" s="9">
        <v>9.4</v>
      </c>
      <c r="I8" s="3" t="s">
        <v>1180</v>
      </c>
      <c r="J8" s="4" t="s">
        <v>51</v>
      </c>
      <c r="K8" s="5" t="s">
        <v>11</v>
      </c>
      <c r="L8" s="11">
        <v>9.2</v>
      </c>
      <c r="N8" s="21">
        <v>9.5</v>
      </c>
      <c r="O8" s="12">
        <f>COUNTIF(A3:L32,9.5)</f>
        <v>11</v>
      </c>
      <c r="P8" s="14" t="s">
        <v>42</v>
      </c>
      <c r="Q8" s="12">
        <f>COUNTIF(A3:L32,"jubeat festo")</f>
        <v>10</v>
      </c>
    </row>
    <row r="9" ht="15.6" spans="1:17">
      <c r="A9" s="3" t="s">
        <v>1170</v>
      </c>
      <c r="B9" s="4" t="s">
        <v>51</v>
      </c>
      <c r="C9" s="5" t="s">
        <v>11</v>
      </c>
      <c r="D9" s="6">
        <v>9.8</v>
      </c>
      <c r="E9" s="3" t="s">
        <v>1184</v>
      </c>
      <c r="F9" s="4" t="s">
        <v>51</v>
      </c>
      <c r="G9" s="5" t="s">
        <v>11</v>
      </c>
      <c r="H9" s="9">
        <v>9.4</v>
      </c>
      <c r="I9" s="3" t="s">
        <v>1239</v>
      </c>
      <c r="J9" s="4" t="s">
        <v>51</v>
      </c>
      <c r="K9" s="5" t="s">
        <v>11</v>
      </c>
      <c r="L9" s="11">
        <v>9.2</v>
      </c>
      <c r="N9" s="9">
        <v>9.4</v>
      </c>
      <c r="O9" s="12">
        <f>COUNTIF(A3:L32,9.4)</f>
        <v>7</v>
      </c>
      <c r="P9" s="13" t="s">
        <v>46</v>
      </c>
      <c r="Q9" s="12">
        <f>COUNTIF(A3:L32,"jubeat Ave.")</f>
        <v>10</v>
      </c>
    </row>
    <row r="10" ht="15.6" spans="1:17">
      <c r="A10" s="16" t="s">
        <v>676</v>
      </c>
      <c r="B10" s="8" t="s">
        <v>39</v>
      </c>
      <c r="C10" s="5" t="s">
        <v>11</v>
      </c>
      <c r="D10" s="18">
        <v>9.7</v>
      </c>
      <c r="E10" s="7" t="s">
        <v>275</v>
      </c>
      <c r="F10" s="10" t="s">
        <v>27</v>
      </c>
      <c r="G10" s="5" t="s">
        <v>11</v>
      </c>
      <c r="H10" s="22">
        <v>9.3</v>
      </c>
      <c r="I10" s="7" t="s">
        <v>371</v>
      </c>
      <c r="J10" s="10" t="s">
        <v>27</v>
      </c>
      <c r="K10" s="5" t="s">
        <v>11</v>
      </c>
      <c r="L10" s="11">
        <v>9.1</v>
      </c>
      <c r="N10" s="23">
        <v>9.3</v>
      </c>
      <c r="O10" s="12">
        <f>COUNTIF(A3:L32,9.3)</f>
        <v>12</v>
      </c>
      <c r="P10" s="4" t="s">
        <v>51</v>
      </c>
      <c r="Q10" s="12">
        <f>COUNTIF(A3:L32,"jubeat音乐魔方")</f>
        <v>34</v>
      </c>
    </row>
    <row r="11" ht="15.6" spans="1:17">
      <c r="A11" s="16" t="s">
        <v>732</v>
      </c>
      <c r="B11" s="14" t="s">
        <v>42</v>
      </c>
      <c r="C11" s="5" t="s">
        <v>11</v>
      </c>
      <c r="D11" s="18">
        <v>9.7</v>
      </c>
      <c r="E11" s="7" t="s">
        <v>519</v>
      </c>
      <c r="F11" s="19" t="s">
        <v>37</v>
      </c>
      <c r="G11" s="15" t="s">
        <v>1373</v>
      </c>
      <c r="H11" s="22">
        <v>9.3</v>
      </c>
      <c r="I11" s="7" t="s">
        <v>428</v>
      </c>
      <c r="J11" s="17" t="s">
        <v>30</v>
      </c>
      <c r="K11" s="5" t="s">
        <v>11</v>
      </c>
      <c r="L11" s="11">
        <v>9.1</v>
      </c>
      <c r="N11" s="23">
        <v>9.2</v>
      </c>
      <c r="O11" s="12">
        <f>COUNTIF(A3:L32,9.2)</f>
        <v>7</v>
      </c>
      <c r="P11" s="12"/>
      <c r="Q11" s="12"/>
    </row>
    <row r="12" ht="15.6" spans="1:17">
      <c r="A12" s="7" t="s">
        <v>768</v>
      </c>
      <c r="B12" s="14" t="s">
        <v>42</v>
      </c>
      <c r="C12" s="5" t="s">
        <v>11</v>
      </c>
      <c r="D12" s="18">
        <v>9.7</v>
      </c>
      <c r="E12" s="7" t="s">
        <v>578</v>
      </c>
      <c r="F12" s="19" t="s">
        <v>37</v>
      </c>
      <c r="G12" s="5" t="s">
        <v>11</v>
      </c>
      <c r="H12" s="22">
        <v>9.3</v>
      </c>
      <c r="I12" s="7" t="s">
        <v>861</v>
      </c>
      <c r="J12" s="14" t="s">
        <v>42</v>
      </c>
      <c r="K12" s="5" t="s">
        <v>11</v>
      </c>
      <c r="L12" s="11">
        <v>9.1</v>
      </c>
      <c r="N12" s="23">
        <v>9.1</v>
      </c>
      <c r="O12" s="12">
        <f>COUNTIF(A3:L32,9.1)</f>
        <v>7</v>
      </c>
      <c r="P12" s="12"/>
      <c r="Q12" s="12"/>
    </row>
    <row r="13" ht="15.6" spans="1:17">
      <c r="A13" s="7" t="s">
        <v>1003</v>
      </c>
      <c r="B13" s="13" t="s">
        <v>46</v>
      </c>
      <c r="C13" s="5" t="s">
        <v>11</v>
      </c>
      <c r="D13" s="18">
        <v>9.7</v>
      </c>
      <c r="E13" s="7" t="s">
        <v>706</v>
      </c>
      <c r="F13" s="8" t="s">
        <v>39</v>
      </c>
      <c r="G13" s="5" t="s">
        <v>11</v>
      </c>
      <c r="H13" s="22">
        <v>9.3</v>
      </c>
      <c r="I13" s="3" t="s">
        <v>1274</v>
      </c>
      <c r="J13" s="4" t="s">
        <v>51</v>
      </c>
      <c r="K13" s="15" t="s">
        <v>1373</v>
      </c>
      <c r="L13" s="11">
        <v>9.1</v>
      </c>
      <c r="N13" s="23">
        <v>9</v>
      </c>
      <c r="O13" s="12">
        <f>COUNTIF(A3:L32,9)</f>
        <v>6</v>
      </c>
      <c r="P13" s="12"/>
      <c r="Q13" s="12"/>
    </row>
    <row r="14" ht="15.6" spans="1:17">
      <c r="A14" s="7" t="s">
        <v>944</v>
      </c>
      <c r="B14" s="13" t="s">
        <v>46</v>
      </c>
      <c r="C14" s="5" t="s">
        <v>11</v>
      </c>
      <c r="D14" s="18">
        <v>9.7</v>
      </c>
      <c r="E14" s="16" t="s">
        <v>765</v>
      </c>
      <c r="F14" s="14" t="s">
        <v>42</v>
      </c>
      <c r="G14" s="5" t="s">
        <v>11</v>
      </c>
      <c r="H14" s="22">
        <v>9.3</v>
      </c>
      <c r="I14" s="3" t="s">
        <v>1271</v>
      </c>
      <c r="J14" s="4" t="s">
        <v>51</v>
      </c>
      <c r="K14" s="5" t="s">
        <v>11</v>
      </c>
      <c r="L14" s="11">
        <v>9.1</v>
      </c>
    </row>
    <row r="15" ht="15.6" spans="1:17">
      <c r="A15" s="7" t="s">
        <v>508</v>
      </c>
      <c r="B15" s="19" t="s">
        <v>37</v>
      </c>
      <c r="C15" s="15" t="s">
        <v>1373</v>
      </c>
      <c r="D15" s="20">
        <v>9.6</v>
      </c>
      <c r="E15" s="3" t="s">
        <v>1195</v>
      </c>
      <c r="F15" s="4" t="s">
        <v>51</v>
      </c>
      <c r="G15" s="15" t="s">
        <v>1373</v>
      </c>
      <c r="H15" s="22">
        <v>9.3</v>
      </c>
      <c r="I15" s="3" t="s">
        <v>1251</v>
      </c>
      <c r="J15" s="4" t="s">
        <v>51</v>
      </c>
      <c r="K15" s="5" t="s">
        <v>11</v>
      </c>
      <c r="L15" s="11">
        <v>9.1</v>
      </c>
    </row>
    <row r="16" ht="15.6" spans="1:17">
      <c r="A16" s="7" t="s">
        <v>713</v>
      </c>
      <c r="B16" s="14" t="s">
        <v>42</v>
      </c>
      <c r="C16" s="5" t="s">
        <v>11</v>
      </c>
      <c r="D16" s="20">
        <v>9.6</v>
      </c>
      <c r="E16" s="3" t="s">
        <v>1219</v>
      </c>
      <c r="F16" s="4" t="s">
        <v>51</v>
      </c>
      <c r="G16" s="15" t="s">
        <v>1373</v>
      </c>
      <c r="H16" s="22">
        <v>9.3</v>
      </c>
      <c r="I16" s="3" t="s">
        <v>1227</v>
      </c>
      <c r="J16" s="4" t="s">
        <v>51</v>
      </c>
      <c r="K16" s="5" t="s">
        <v>11</v>
      </c>
      <c r="L16" s="11">
        <v>9.1</v>
      </c>
    </row>
    <row r="17" ht="15.6" spans="1:12">
      <c r="A17" s="7" t="s">
        <v>970</v>
      </c>
      <c r="B17" s="13" t="s">
        <v>46</v>
      </c>
      <c r="C17" s="15" t="s">
        <v>1373</v>
      </c>
      <c r="D17" s="20">
        <v>9.6</v>
      </c>
      <c r="E17" s="3" t="s">
        <v>1168</v>
      </c>
      <c r="F17" s="4" t="s">
        <v>51</v>
      </c>
      <c r="G17" s="5" t="s">
        <v>11</v>
      </c>
      <c r="H17" s="22">
        <v>9.3</v>
      </c>
      <c r="I17" s="7" t="s">
        <v>585</v>
      </c>
      <c r="J17" s="19" t="s">
        <v>37</v>
      </c>
      <c r="K17" s="5" t="s">
        <v>11</v>
      </c>
      <c r="L17" s="11">
        <v>9</v>
      </c>
    </row>
    <row r="18" ht="15.6" spans="1:12">
      <c r="A18" s="7" t="s">
        <v>988</v>
      </c>
      <c r="B18" s="13" t="s">
        <v>46</v>
      </c>
      <c r="C18" s="15" t="s">
        <v>1373</v>
      </c>
      <c r="D18" s="20">
        <v>9.6</v>
      </c>
      <c r="E18" s="3" t="s">
        <v>1259</v>
      </c>
      <c r="F18" s="4" t="s">
        <v>51</v>
      </c>
      <c r="G18" s="5" t="s">
        <v>11</v>
      </c>
      <c r="H18" s="22">
        <v>9.3</v>
      </c>
      <c r="I18" s="7" t="s">
        <v>934</v>
      </c>
      <c r="J18" s="13" t="s">
        <v>46</v>
      </c>
      <c r="K18" s="15" t="s">
        <v>1373</v>
      </c>
      <c r="L18" s="11">
        <v>9</v>
      </c>
    </row>
    <row r="19" ht="15.6" spans="1:12">
      <c r="A19" s="7" t="s">
        <v>966</v>
      </c>
      <c r="B19" s="13" t="s">
        <v>46</v>
      </c>
      <c r="C19" s="5" t="s">
        <v>11</v>
      </c>
      <c r="D19" s="20">
        <v>9.6</v>
      </c>
      <c r="E19" s="3" t="s">
        <v>1198</v>
      </c>
      <c r="F19" s="4" t="s">
        <v>51</v>
      </c>
      <c r="G19" s="5" t="s">
        <v>11</v>
      </c>
      <c r="H19" s="22">
        <v>9.3</v>
      </c>
      <c r="I19" s="7" t="s">
        <v>940</v>
      </c>
      <c r="J19" s="13" t="s">
        <v>46</v>
      </c>
      <c r="K19" s="5" t="s">
        <v>11</v>
      </c>
      <c r="L19" s="11">
        <v>9</v>
      </c>
    </row>
    <row r="20" ht="15.6" spans="1:12">
      <c r="A20" s="7" t="s">
        <v>999</v>
      </c>
      <c r="B20" s="13" t="s">
        <v>46</v>
      </c>
      <c r="C20" s="5" t="s">
        <v>11</v>
      </c>
      <c r="D20" s="20">
        <v>9.6</v>
      </c>
      <c r="E20" s="3" t="s">
        <v>1221</v>
      </c>
      <c r="F20" s="4" t="s">
        <v>51</v>
      </c>
      <c r="G20" s="5" t="s">
        <v>11</v>
      </c>
      <c r="H20" s="22">
        <v>9.3</v>
      </c>
      <c r="I20" s="3" t="s">
        <v>1448</v>
      </c>
      <c r="J20" s="4" t="s">
        <v>51</v>
      </c>
      <c r="K20" s="5" t="s">
        <v>11</v>
      </c>
      <c r="L20" s="11">
        <v>9</v>
      </c>
    </row>
    <row r="21" ht="15.6" spans="1:12">
      <c r="A21" s="24" t="s">
        <v>1186</v>
      </c>
      <c r="B21" s="4" t="s">
        <v>51</v>
      </c>
      <c r="C21" s="5" t="s">
        <v>11</v>
      </c>
      <c r="D21" s="20">
        <v>9.6</v>
      </c>
      <c r="E21" s="3" t="s">
        <v>1338</v>
      </c>
      <c r="F21" s="4" t="s">
        <v>51</v>
      </c>
      <c r="G21" s="5" t="s">
        <v>11</v>
      </c>
      <c r="H21" s="22">
        <v>9.3</v>
      </c>
      <c r="I21" s="3" t="s">
        <v>1288</v>
      </c>
      <c r="J21" s="4" t="s">
        <v>51</v>
      </c>
      <c r="K21" s="5" t="s">
        <v>11</v>
      </c>
      <c r="L21" s="11">
        <v>9</v>
      </c>
    </row>
    <row r="22" ht="15.6" spans="1:12">
      <c r="A22" s="16" t="s">
        <v>612</v>
      </c>
      <c r="B22" s="19" t="s">
        <v>37</v>
      </c>
      <c r="C22" s="5" t="s">
        <v>11</v>
      </c>
      <c r="D22" s="21">
        <v>9.5</v>
      </c>
      <c r="I22" s="3" t="s">
        <v>1332</v>
      </c>
      <c r="J22" s="4" t="s">
        <v>51</v>
      </c>
      <c r="K22" s="5" t="s">
        <v>11</v>
      </c>
      <c r="L22" s="11">
        <v>9</v>
      </c>
    </row>
    <row r="23" ht="15.6" spans="1:12">
      <c r="A23" s="7" t="s">
        <v>1449</v>
      </c>
      <c r="B23" s="8" t="s">
        <v>39</v>
      </c>
      <c r="C23" s="5" t="s">
        <v>11</v>
      </c>
      <c r="D23" s="21">
        <v>9.5</v>
      </c>
    </row>
    <row r="24" ht="15.6" spans="1:12">
      <c r="A24" s="7" t="s">
        <v>763</v>
      </c>
      <c r="B24" s="14" t="s">
        <v>42</v>
      </c>
      <c r="C24" s="15" t="s">
        <v>1373</v>
      </c>
      <c r="D24" s="21">
        <v>9.5</v>
      </c>
    </row>
    <row r="25" ht="15.6" spans="1:12">
      <c r="A25" s="7" t="s">
        <v>860</v>
      </c>
      <c r="B25" s="14" t="s">
        <v>42</v>
      </c>
      <c r="C25" s="15" t="s">
        <v>1373</v>
      </c>
      <c r="D25" s="21">
        <v>9.5</v>
      </c>
    </row>
    <row r="26" ht="15.6" spans="1:12">
      <c r="A26" s="7" t="s">
        <v>817</v>
      </c>
      <c r="B26" s="14" t="s">
        <v>42</v>
      </c>
      <c r="C26" s="5" t="s">
        <v>11</v>
      </c>
      <c r="D26" s="21">
        <v>9.5</v>
      </c>
    </row>
    <row r="27" ht="15.6" spans="1:12">
      <c r="A27" s="7" t="s">
        <v>972</v>
      </c>
      <c r="B27" s="13" t="s">
        <v>46</v>
      </c>
      <c r="C27" s="5" t="s">
        <v>11</v>
      </c>
      <c r="D27" s="21">
        <v>9.5</v>
      </c>
    </row>
    <row r="28" ht="15.6" spans="1:12">
      <c r="A28" s="3" t="s">
        <v>1190</v>
      </c>
      <c r="B28" s="4" t="s">
        <v>51</v>
      </c>
      <c r="C28" s="15" t="s">
        <v>1373</v>
      </c>
      <c r="D28" s="21">
        <v>9.5</v>
      </c>
    </row>
    <row r="29" ht="15.6" spans="1:12">
      <c r="A29" s="3" t="s">
        <v>1257</v>
      </c>
      <c r="B29" s="4" t="s">
        <v>51</v>
      </c>
      <c r="C29" s="5" t="s">
        <v>11</v>
      </c>
      <c r="D29" s="21">
        <v>9.5</v>
      </c>
    </row>
    <row r="30" ht="15.6" spans="1:12">
      <c r="A30" s="3" t="s">
        <v>1230</v>
      </c>
      <c r="B30" s="4" t="s">
        <v>51</v>
      </c>
      <c r="C30" s="5" t="s">
        <v>11</v>
      </c>
      <c r="D30" s="21">
        <v>9.5</v>
      </c>
    </row>
    <row r="31" ht="15.6" spans="1:12">
      <c r="A31" s="3" t="s">
        <v>1249</v>
      </c>
      <c r="B31" s="4" t="s">
        <v>51</v>
      </c>
      <c r="C31" s="5" t="s">
        <v>11</v>
      </c>
      <c r="D31" s="21">
        <v>9.5</v>
      </c>
    </row>
    <row r="32" ht="15.6" spans="1:12">
      <c r="A32" s="3" t="s">
        <v>1178</v>
      </c>
      <c r="B32" s="4" t="s">
        <v>51</v>
      </c>
      <c r="C32" s="5" t="s">
        <v>11</v>
      </c>
      <c r="D32" s="21">
        <v>9.5</v>
      </c>
    </row>
  </sheetData>
  <mergeCells count="1">
    <mergeCell ref="A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国框更新日服歌曲进度</vt:lpstr>
      <vt:lpstr>国框更新音乐魔方进度</vt:lpstr>
      <vt:lpstr>国框Jubiility理论值</vt:lpstr>
      <vt:lpstr>国框Jubiility理论值 【20261015】</vt:lpstr>
      <vt:lpstr>国框跑图II歌曲详情</vt:lpstr>
      <vt:lpstr>pick up（10+）</vt:lpstr>
      <vt:lpstr>pick up（9+）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22122RK93C</dc:creator>
  <cp:lastModifiedBy>RXSnowind</cp:lastModifiedBy>
  <dcterms:created xsi:type="dcterms:W3CDTF">2023-05-09T11:15:00Z</dcterms:created>
  <dcterms:modified xsi:type="dcterms:W3CDTF">2026-10-15T06:50:46Z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2052-12.1.0.28505</vt:lpwstr>
  </property>
  <property fmtid="{D5CDD505-2E9C-101B-9397-08002B2CF9AE}" pid="4" name="ICV">
    <vt:lpwstr>F7BDB01F3A0D4BC78D8137BD59D57EC9_12</vt:lpwstr>
  </property>
</Properties>
</file>